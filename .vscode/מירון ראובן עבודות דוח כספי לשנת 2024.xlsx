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8400" windowHeight="18460" tabRatio="903" firstSheet="0" activeTab="11" autoFilterDateGrouping="1"/>
  </bookViews>
  <sheets>
    <sheet name="2018" sheetId="1" state="visible" r:id="rId1"/>
    <sheet name="2019" sheetId="2" state="visible" r:id="rId2"/>
    <sheet name="מאזן 2020" sheetId="3" state="visible" r:id="rId3"/>
    <sheet name="2020" sheetId="4" state="visible" r:id="rId4"/>
    <sheet name="מאזן 2021" sheetId="5" state="visible" r:id="rId5"/>
    <sheet name="2021" sheetId="6" state="visible" r:id="rId6"/>
    <sheet name="מאזן 2022" sheetId="7" state="visible" r:id="rId7"/>
    <sheet name="2022" sheetId="8" state="visible" r:id="rId8"/>
    <sheet name="מאזן 2023" sheetId="9" state="visible" r:id="rId9"/>
    <sheet name="2023" sheetId="10" state="visible" r:id="rId10"/>
    <sheet name="מאזן 2024" sheetId="11" state="visible" r:id="rId11"/>
    <sheet name="2024" sheetId="12" state="visible" r:id="rId12"/>
    <sheet name="דוחות כספיים" sheetId="13" state="visible" r:id="rId13"/>
  </sheets>
  <definedNames>
    <definedName name="data">#REF!</definedName>
    <definedName name="data_code">#REF!</definedName>
    <definedName name="data_sum">#REF!</definedName>
    <definedName name="date">31/12/2</definedName>
    <definedName name="doc">'דוחות כספיים'!$H$1:$M$330</definedName>
    <definedName name="INDEX">#REF!</definedName>
    <definedName name="INDEX_hhh">#REF!</definedName>
    <definedName name="kod">#REF!</definedName>
    <definedName name="ly">#REF!</definedName>
    <definedName name="negation_code">'דוחות כספיים'!$M$1:$M$478</definedName>
    <definedName name="sum">#REF!</definedName>
    <definedName name="year">"2002"</definedName>
    <definedName name="_xlnm.Print_Area" localSheetId="12">'דוחות כספיים'!$B$1:$N$377</definedName>
  </definedNames>
  <calcPr calcId="191029" fullCalcOnLoad="1"/>
</workbook>
</file>

<file path=xl/styles.xml><?xml version="1.0" encoding="utf-8"?>
<styleSheet xmlns="http://schemas.openxmlformats.org/spreadsheetml/2006/main">
  <numFmts count="32">
    <numFmt numFmtId="164" formatCode="[Blue]#,##0_ ;[Red]\(#,##0\)"/>
    <numFmt numFmtId="165" formatCode="[Blue]#,##0.00_ ;[Red]\(#,##0.00\)"/>
    <numFmt numFmtId="166" formatCode="_ * #,##0_ ;_ * \-#,##0_ ;_ * &quot;-&quot;_ ;_ @_ "/>
    <numFmt numFmtId="167" formatCode="[Blue]* #,##0_ ;[Red]* _ \(#,##0\);\ \ \ \ &quot;-&quot;"/>
    <numFmt numFmtId="168" formatCode="_-* #,##0_-;\-* #,##0_-;_-* &quot;-&quot;_-;_-@_-"/>
    <numFmt numFmtId="169" formatCode="_ * #,##0.00_ ;_ * \-#,##0.00_ ;_ * &quot;-&quot;??_ ;_ @_ "/>
    <numFmt numFmtId="170" formatCode="%0.00"/>
    <numFmt numFmtId="171" formatCode="[Blue]0.0000"/>
    <numFmt numFmtId="172" formatCode="0.000"/>
    <numFmt numFmtId="173" formatCode="???"/>
    <numFmt numFmtId="174" formatCode="????"/>
    <numFmt numFmtId="175" formatCode="??0.00"/>
    <numFmt numFmtId="176" formatCode="?,??0.00"/>
    <numFmt numFmtId="177" formatCode="???,??0.00"/>
    <numFmt numFmtId="178" formatCode="??,??0.00"/>
    <numFmt numFmtId="179" formatCode="?0.00"/>
    <numFmt numFmtId="180" formatCode="\-?,???,??0.00;\-?,???,??0.00"/>
    <numFmt numFmtId="181" formatCode="?,???,??0.00"/>
    <numFmt numFmtId="182" formatCode="\-??,??0.00;\-??,??0.00"/>
    <numFmt numFmtId="183" formatCode="\-???,??0.00;\-???,??0.00"/>
    <numFmt numFmtId="184" formatCode="\-?,??0.00;\-?,??0.00"/>
    <numFmt numFmtId="185" formatCode="0000"/>
    <numFmt numFmtId="186" formatCode="\-??0.00;\-??0.00"/>
    <numFmt numFmtId="187" formatCode="[Blue]&quot;*&quot;* #,##0_ ;[Red]&quot;*&quot;* _ \(#,##0\);\ \ \ \ &quot;-&quot;"/>
    <numFmt numFmtId="188" formatCode="[Blue]&quot;*&quot;* #,##0_ ;[Red]&quot;*&quot;* _ \(#,##0\);\ \ \ \ &quot;-     *&quot;"/>
    <numFmt numFmtId="189" formatCode="[Blue]&quot;[1]&quot;* #,##0_ ;[Red]&quot;[1]&quot;* _ \(#,##0\);\ \ \ \ &quot;-     [1]&quot;"/>
    <numFmt numFmtId="190" formatCode="[Blue]&quot;[2]&quot;* #,##0_ ;[Red]&quot;[2]&quot;* _ \(#,##0\);\ \ \ \ &quot;-     [2]&quot;"/>
    <numFmt numFmtId="191" formatCode="[Blue]&quot;[3]&quot;* #,##0_ ;[Red]&quot;[3]&quot;* _ \(#,##0\);\ \ \ \ &quot;-     [3]&quot;"/>
    <numFmt numFmtId="192" formatCode="[Blue]&quot;[4]&quot;* #,##0_ ;[Red]&quot;[4]&quot;* _ \(#,##0\);\ \ \ \ &quot;-     [4]&quot;"/>
    <numFmt numFmtId="193" formatCode="[Blue]&quot;[5]&quot;* #,##0_ ;[Red]&quot;[5]&quot;* _ \(#,##0\);\ \ \ \ &quot;-     [5]&quot;"/>
    <numFmt numFmtId="194" formatCode="_-&quot;₪&quot;* #,##0_-;\-&quot;₪&quot;* #,##0_-;_-&quot;₪&quot;* &quot;-&quot;_-;_-@_-"/>
    <numFmt numFmtId="195" formatCode="%0"/>
  </numFmts>
  <fonts count="55">
    <font>
      <name val="David"/>
      <charset val="177"/>
      <sz val="12"/>
    </font>
    <font>
      <name val="Arial"/>
      <family val="2"/>
      <sz val="10"/>
    </font>
    <font>
      <name val="Levenim MT"/>
      <charset val="177"/>
      <sz val="8"/>
    </font>
    <font>
      <name val="David"/>
      <charset val="177"/>
      <family val="2"/>
      <sz val="12"/>
    </font>
    <font>
      <name val="David Transparent"/>
      <charset val="177"/>
      <b val="1"/>
      <sz val="14"/>
    </font>
    <font>
      <name val="David"/>
      <charset val="177"/>
      <family val="2"/>
      <sz val="14"/>
    </font>
    <font>
      <name val="David"/>
      <charset val="177"/>
      <family val="2"/>
      <b val="1"/>
      <sz val="12"/>
    </font>
    <font>
      <name val="David"/>
      <charset val="177"/>
      <family val="2"/>
      <b val="1"/>
      <sz val="12"/>
      <u val="single"/>
    </font>
    <font>
      <name val="Aharoni"/>
      <charset val="177"/>
      <sz val="16"/>
    </font>
    <font>
      <name val="David"/>
      <charset val="177"/>
      <family val="2"/>
      <sz val="12"/>
      <u val="single"/>
    </font>
    <font>
      <name val="David"/>
      <charset val="177"/>
      <family val="2"/>
      <sz val="10"/>
    </font>
    <font>
      <name val="David"/>
      <charset val="177"/>
      <family val="2"/>
      <sz val="12"/>
    </font>
    <font>
      <name val="David"/>
      <charset val="177"/>
      <family val="2"/>
      <sz val="12"/>
    </font>
    <font>
      <name val="Aharoni"/>
      <charset val="177"/>
      <b val="1"/>
      <sz val="16"/>
    </font>
    <font>
      <name val="David"/>
      <charset val="177"/>
      <family val="2"/>
      <sz val="12"/>
      <u val="singleAccounting"/>
    </font>
    <font>
      <name val="David"/>
      <charset val="177"/>
      <family val="2"/>
      <b val="1"/>
      <sz val="12"/>
      <u val="doubleAccounting"/>
    </font>
    <font>
      <name val="Miriam"/>
      <charset val="177"/>
      <family val="2"/>
      <sz val="11"/>
    </font>
    <font>
      <name val="Miriam"/>
      <charset val="177"/>
      <family val="2"/>
      <b val="1"/>
      <i val="1"/>
      <sz val="12"/>
      <u val="single"/>
    </font>
    <font>
      <name val="David"/>
      <charset val="177"/>
      <family val="2"/>
      <b val="1"/>
      <sz val="12"/>
      <u val="singleAccounting"/>
    </font>
    <font>
      <name val="Aharoni"/>
      <charset val="177"/>
      <b val="1"/>
      <sz val="24"/>
    </font>
    <font>
      <name val="Aharoni"/>
      <charset val="177"/>
      <b val="1"/>
      <sz val="22"/>
    </font>
    <font>
      <name val="Arial (Hebrew)"/>
      <charset val="177"/>
      <family val="2"/>
      <sz val="11"/>
    </font>
    <font>
      <name val="Arial"/>
      <charset val="177"/>
      <family val="2"/>
      <sz val="11"/>
    </font>
    <font>
      <name val="Narkisim"/>
      <charset val="177"/>
      <family val="2"/>
      <b val="1"/>
      <sz val="10"/>
    </font>
    <font>
      <name val="Arial"/>
      <family val="2"/>
      <sz val="11"/>
    </font>
    <font>
      <name val="Arial"/>
      <charset val="177"/>
      <family val="2"/>
      <b val="1"/>
      <color indexed="18"/>
      <sz val="10"/>
    </font>
    <font>
      <name val="David"/>
      <charset val="177"/>
      <family val="2"/>
      <sz val="16"/>
    </font>
    <font>
      <name val="David"/>
      <charset val="177"/>
      <family val="2"/>
      <sz val="9"/>
    </font>
    <font>
      <name val="Aharoni"/>
      <charset val="177"/>
      <sz val="16"/>
      <u val="single"/>
    </font>
    <font>
      <name val="David"/>
      <charset val="177"/>
      <family val="2"/>
      <sz val="11"/>
    </font>
    <font>
      <name val="Aharoni"/>
      <charset val="177"/>
      <b val="1"/>
      <sz val="16"/>
      <u val="single"/>
    </font>
    <font>
      <name val="Arial"/>
      <family val="2"/>
      <sz val="9"/>
    </font>
    <font>
      <name val="Arial"/>
      <family val="2"/>
      <b val="1"/>
      <sz val="9"/>
      <u val="single"/>
    </font>
    <font>
      <name val="Arial"/>
      <family val="2"/>
      <color indexed="18"/>
      <sz val="9"/>
    </font>
    <font>
      <name val="Arial"/>
      <family val="2"/>
      <b val="1"/>
      <sz val="12"/>
      <u val="single"/>
    </font>
    <font>
      <name val="Arial"/>
      <family val="2"/>
      <sz val="10"/>
    </font>
    <font>
      <name val="Arial"/>
      <family val="2"/>
      <color indexed="8"/>
      <sz val="9"/>
    </font>
    <font>
      <name val="Arial"/>
      <family val="2"/>
      <b val="1"/>
      <color indexed="8"/>
      <sz val="9"/>
    </font>
    <font>
      <name val="Arial"/>
      <family val="2"/>
      <b val="1"/>
      <sz val="12"/>
    </font>
    <font>
      <name val="Arial"/>
      <family val="2"/>
      <b val="1"/>
      <color indexed="8"/>
      <sz val="11.5"/>
    </font>
    <font>
      <name val="Arial"/>
      <family val="2"/>
      <b val="1"/>
      <color indexed="8"/>
      <sz val="16"/>
    </font>
    <font>
      <name val="Arial"/>
      <family val="2"/>
      <color indexed="8"/>
      <sz val="8.5"/>
    </font>
    <font>
      <name val="Arial"/>
      <family val="2"/>
      <b val="1"/>
      <color indexed="8"/>
      <sz val="9"/>
    </font>
    <font>
      <name val="Arial"/>
      <family val="2"/>
      <b val="1"/>
      <color indexed="8"/>
      <sz val="11"/>
    </font>
    <font>
      <name val="Arial"/>
      <family val="2"/>
      <b val="1"/>
      <color indexed="8"/>
      <sz val="12"/>
    </font>
    <font>
      <name val="Arial"/>
      <family val="2"/>
      <color indexed="8"/>
      <sz val="9"/>
    </font>
    <font>
      <name val="Arial"/>
      <family val="2"/>
      <sz val="10"/>
    </font>
    <font>
      <name val="Arial"/>
      <charset val="177"/>
      <family val="2"/>
      <color theme="1"/>
      <sz val="9"/>
    </font>
    <font>
      <name val="Arial"/>
      <charset val="177"/>
      <family val="2"/>
      <b val="1"/>
      <color theme="1"/>
      <sz val="9"/>
    </font>
    <font>
      <name val="Arial"/>
      <charset val="1"/>
      <family val="2"/>
      <color theme="1"/>
      <sz val="11"/>
    </font>
    <font>
      <name val="Arial"/>
      <charset val="177"/>
      <family val="2"/>
      <b val="1"/>
      <color theme="1"/>
      <sz val="12"/>
    </font>
    <font>
      <name val="Arial"/>
      <charset val="177"/>
      <family val="2"/>
      <b val="1"/>
      <color theme="1"/>
      <sz val="11"/>
    </font>
    <font>
      <name val="Arial"/>
      <charset val="177"/>
      <family val="2"/>
      <b val="1"/>
      <color theme="1"/>
      <sz val="11.5"/>
    </font>
    <font>
      <name val="Arial"/>
      <charset val="177"/>
      <family val="2"/>
      <color theme="1"/>
      <sz val="8.5"/>
    </font>
    <font>
      <name val="Arial"/>
      <charset val="177"/>
      <family val="2"/>
      <b val="1"/>
      <color theme="1"/>
      <sz val="16"/>
    </font>
  </fonts>
  <fills count="8">
    <fill>
      <patternFill/>
    </fill>
    <fill>
      <patternFill patternType="gray125"/>
    </fill>
    <fill>
      <patternFill patternType="solid">
        <fgColor indexed="26"/>
        <bgColor indexed="64"/>
      </patternFill>
    </fill>
    <fill>
      <patternFill patternType="solid">
        <fgColor indexed="42"/>
        <bgColor indexed="64"/>
      </patternFill>
    </fill>
    <fill>
      <patternFill patternType="solid">
        <fgColor indexed="22"/>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13">
    <border>
      <left/>
      <right/>
      <top/>
      <bottom/>
      <diagonal/>
    </border>
    <border>
      <left style="thin">
        <color indexed="8"/>
      </left>
      <right/>
      <top style="thin">
        <color indexed="8"/>
      </top>
      <bottom/>
      <diagonal/>
    </border>
    <border>
      <left/>
      <right/>
      <top style="hair">
        <color indexed="64"/>
      </top>
      <bottom style="hair">
        <color indexed="64"/>
      </bottom>
      <diagonal/>
    </border>
    <border>
      <left/>
      <right/>
      <top style="hair">
        <color indexed="64"/>
      </top>
      <bottom style="double">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8"/>
      </bottom>
      <diagonal/>
    </border>
  </borders>
  <cellStyleXfs count="57">
    <xf numFmtId="168" fontId="0" fillId="0" borderId="0"/>
    <xf numFmtId="0" fontId="24" fillId="0" borderId="0"/>
    <xf numFmtId="38" fontId="23" fillId="0" borderId="0" applyAlignment="1">
      <alignment horizontal="right"/>
    </xf>
    <xf numFmtId="38" fontId="23" fillId="0" borderId="0" applyAlignment="1">
      <alignment horizontal="right"/>
    </xf>
    <xf numFmtId="187" fontId="2" fillId="0" borderId="0" applyAlignment="1">
      <alignment readingOrder="2"/>
    </xf>
    <xf numFmtId="187" fontId="2" fillId="0" borderId="0" applyAlignment="1">
      <alignment readingOrder="2"/>
    </xf>
    <xf numFmtId="188" fontId="12" fillId="0" borderId="0" applyAlignment="1">
      <alignment readingOrder="2"/>
    </xf>
    <xf numFmtId="187" fontId="2" fillId="0" borderId="0" applyAlignment="1">
      <alignment readingOrder="2"/>
    </xf>
    <xf numFmtId="187" fontId="2" fillId="0" borderId="0" applyAlignment="1">
      <alignment readingOrder="2"/>
    </xf>
    <xf numFmtId="187" fontId="2" fillId="0" borderId="0" applyAlignment="1">
      <alignment readingOrder="2"/>
    </xf>
    <xf numFmtId="188" fontId="12" fillId="0" borderId="0" applyAlignment="1">
      <alignment readingOrder="2"/>
    </xf>
    <xf numFmtId="188" fontId="12" fillId="0" borderId="0" applyAlignment="1">
      <alignment readingOrder="2"/>
    </xf>
    <xf numFmtId="187" fontId="2" fillId="0" borderId="0" applyAlignment="1">
      <alignment vertical="top" readingOrder="2"/>
    </xf>
    <xf numFmtId="187" fontId="2" fillId="0" borderId="0" applyAlignment="1">
      <alignment readingOrder="2"/>
    </xf>
    <xf numFmtId="188" fontId="12" fillId="0" borderId="0" applyAlignment="1">
      <alignment readingOrder="2"/>
    </xf>
    <xf numFmtId="187" fontId="12" fillId="0" borderId="0" applyAlignment="1">
      <alignment readingOrder="2"/>
    </xf>
    <xf numFmtId="187" fontId="2" fillId="0" borderId="0" applyAlignment="1">
      <alignment readingOrder="2"/>
    </xf>
    <xf numFmtId="188" fontId="12" fillId="0" borderId="0" applyAlignment="1">
      <alignment readingOrder="2"/>
    </xf>
    <xf numFmtId="187" fontId="2" fillId="0" borderId="0" applyAlignment="1">
      <alignment readingOrder="2"/>
    </xf>
    <xf numFmtId="189" fontId="12" fillId="0" borderId="0" applyAlignment="1">
      <alignment readingOrder="2"/>
    </xf>
    <xf numFmtId="190" fontId="12" fillId="0" borderId="0" applyAlignment="1">
      <alignment readingOrder="2"/>
    </xf>
    <xf numFmtId="191" fontId="12" fillId="0" borderId="0" applyAlignment="1">
      <alignment readingOrder="2"/>
    </xf>
    <xf numFmtId="192" fontId="12" fillId="0" borderId="0" applyAlignment="1">
      <alignment readingOrder="2"/>
    </xf>
    <xf numFmtId="193" fontId="12" fillId="0" borderId="0" applyAlignment="1">
      <alignment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4" fontId="26" fillId="0" borderId="1" applyAlignment="1">
      <alignment horizontal="right" vertical="center" readingOrder="2"/>
    </xf>
    <xf numFmtId="169" fontId="46" fillId="0" borderId="0"/>
    <xf numFmtId="0" fontId="46" fillId="0" borderId="0"/>
    <xf numFmtId="0" fontId="46" fillId="0" borderId="0"/>
    <xf numFmtId="194" fontId="46" fillId="0" borderId="0"/>
    <xf numFmtId="0" fontId="46" fillId="0" borderId="0"/>
    <xf numFmtId="0" fontId="46" fillId="0" borderId="0"/>
    <xf numFmtId="0" fontId="49" fillId="0" borderId="0"/>
    <xf numFmtId="167" fontId="12" fillId="0" borderId="0" applyAlignment="1">
      <alignment horizontal="right" readingOrder="2"/>
    </xf>
    <xf numFmtId="195" fontId="2" fillId="0" borderId="0" applyAlignment="1">
      <alignment horizontal="right" vertical="center" readingOrder="2"/>
    </xf>
    <xf numFmtId="41" fontId="46" fillId="0" borderId="0"/>
    <xf numFmtId="38" fontId="23" fillId="0" borderId="0" applyAlignment="1">
      <alignment horizontal="right"/>
    </xf>
    <xf numFmtId="38" fontId="22" fillId="0" borderId="0"/>
    <xf numFmtId="168" fontId="24" fillId="0" borderId="0"/>
    <xf numFmtId="164" fontId="8" fillId="0" borderId="0" applyAlignment="1">
      <alignment horizontal="right" vertical="center" readingOrder="2"/>
    </xf>
    <xf numFmtId="164" fontId="13" fillId="0" borderId="0" applyAlignment="1">
      <alignment horizontal="centerContinuous" vertical="center" readingOrder="2"/>
    </xf>
    <xf numFmtId="38" fontId="25" fillId="2" borderId="0"/>
    <xf numFmtId="0" fontId="24" fillId="0" borderId="0"/>
    <xf numFmtId="37" fontId="16" fillId="0" borderId="0" applyAlignment="1">
      <alignment horizontal="right" vertical="center"/>
    </xf>
    <xf numFmtId="37" fontId="17" fillId="0" borderId="0" applyAlignment="1">
      <alignment horizontal="right" vertical="center"/>
    </xf>
    <xf numFmtId="43" fontId="46" fillId="0" borderId="0"/>
    <xf numFmtId="38" fontId="23" fillId="0" borderId="0" applyAlignment="1">
      <alignment horizontal="right"/>
    </xf>
    <xf numFmtId="164" fontId="12" fillId="0" borderId="2" applyAlignment="1">
      <alignment readingOrder="2"/>
    </xf>
    <xf numFmtId="164" fontId="12" fillId="0" borderId="3" applyAlignment="1">
      <alignment readingOrder="2"/>
    </xf>
    <xf numFmtId="0" fontId="24" fillId="0" borderId="0"/>
    <xf numFmtId="14" fontId="2" fillId="0" borderId="0" applyAlignment="1">
      <alignment horizontal="right" vertical="center" readingOrder="2"/>
    </xf>
  </cellStyleXfs>
  <cellXfs count="472">
    <xf numFmtId="164" fontId="0" fillId="0" borderId="0" applyAlignment="1" pivotButton="0" quotePrefix="0" xfId="0">
      <alignment horizontal="right" vertical="center" readingOrder="2"/>
    </xf>
    <xf numFmtId="164" fontId="0" fillId="0" borderId="0" applyAlignment="1" pivotButton="0" quotePrefix="0" xfId="0">
      <alignment horizontal="centerContinuous" vertical="center" readingOrder="2"/>
    </xf>
    <xf numFmtId="164" fontId="13" fillId="0" borderId="0" applyAlignment="1" pivotButton="0" quotePrefix="0" xfId="46">
      <alignment horizontal="centerContinuous" vertical="center" readingOrder="2"/>
    </xf>
    <xf numFmtId="164" fontId="4" fillId="0" borderId="0" applyAlignment="1" pivotButton="0" quotePrefix="0" xfId="46">
      <alignment horizontal="centerContinuous" vertical="center" readingOrder="2"/>
    </xf>
    <xf numFmtId="164" fontId="5" fillId="0" borderId="0" applyAlignment="1" pivotButton="0" quotePrefix="0" xfId="0">
      <alignment horizontal="centerContinuous" vertical="center" readingOrder="2"/>
    </xf>
    <xf numFmtId="164" fontId="0" fillId="0" borderId="0" applyAlignment="1" pivotButton="0" quotePrefix="1" xfId="0">
      <alignment horizontal="right" vertical="center" readingOrder="2"/>
    </xf>
    <xf numFmtId="164" fontId="7" fillId="0" borderId="0" applyAlignment="1" pivotButton="0" quotePrefix="0" xfId="0">
      <alignment horizontal="centerContinuous" vertical="center" readingOrder="2"/>
    </xf>
    <xf numFmtId="164" fontId="6" fillId="0" borderId="0" applyAlignment="1" pivotButton="0" quotePrefix="0" xfId="0">
      <alignment horizontal="right" vertical="center" readingOrder="2"/>
    </xf>
    <xf numFmtId="164" fontId="8" fillId="0" borderId="0" applyAlignment="1" pivotButton="0" quotePrefix="1" xfId="45">
      <alignment horizontal="right" vertical="center" readingOrder="2"/>
    </xf>
    <xf numFmtId="164" fontId="6" fillId="0" borderId="0" applyAlignment="1" pivotButton="0" quotePrefix="1" xfId="0">
      <alignment horizontal="right" vertical="center" readingOrder="2"/>
    </xf>
    <xf numFmtId="164" fontId="11" fillId="0" borderId="0" applyAlignment="1" pivotButton="0" quotePrefix="0" xfId="0">
      <alignment horizontal="right" vertical="center" readingOrder="2"/>
    </xf>
    <xf numFmtId="164" fontId="12" fillId="0" borderId="0" applyAlignment="1" pivotButton="0" quotePrefix="0" xfId="0">
      <alignment horizontal="right" vertical="center" readingOrder="2"/>
    </xf>
    <xf numFmtId="164" fontId="0" fillId="0" borderId="0" applyAlignment="1" pivotButton="0" quotePrefix="0" xfId="0">
      <alignment horizontal="right" vertical="center" readingOrder="2"/>
    </xf>
    <xf numFmtId="164" fontId="0" fillId="2" borderId="0" applyAlignment="1" pivotButton="0" quotePrefix="0" xfId="0">
      <alignment horizontal="right" vertical="center" readingOrder="2"/>
    </xf>
    <xf numFmtId="164" fontId="0" fillId="2" borderId="0" applyAlignment="1" pivotButton="0" quotePrefix="1" xfId="0">
      <alignment horizontal="right" vertical="center" readingOrder="2"/>
    </xf>
    <xf numFmtId="164" fontId="3" fillId="0" borderId="0" applyAlignment="1" pivotButton="0" quotePrefix="0" xfId="0">
      <alignment horizontal="right" vertical="center" readingOrder="2"/>
    </xf>
    <xf numFmtId="164" fontId="9" fillId="0" borderId="0" applyAlignment="1" pivotButton="0" quotePrefix="0" xfId="0">
      <alignment horizontal="right" vertical="center" readingOrder="2"/>
    </xf>
    <xf numFmtId="165" fontId="0" fillId="0" borderId="0" applyAlignment="1" pivotButton="0" quotePrefix="0" xfId="0">
      <alignment horizontal="right" vertical="center" readingOrder="2"/>
    </xf>
    <xf numFmtId="166" fontId="0" fillId="2" borderId="0" applyAlignment="1" pivotButton="0" quotePrefix="0" xfId="0">
      <alignment horizontal="right" vertical="center" readingOrder="2"/>
    </xf>
    <xf numFmtId="164" fontId="13" fillId="0" borderId="4" applyAlignment="1" pivotButton="0" quotePrefix="0" xfId="46">
      <alignment horizontal="centerContinuous" vertical="center" readingOrder="2"/>
    </xf>
    <xf numFmtId="164" fontId="7" fillId="0" borderId="0" applyAlignment="1" pivotButton="0" quotePrefix="0" xfId="0">
      <alignment horizontal="right" vertical="center" readingOrder="2"/>
    </xf>
    <xf numFmtId="167" fontId="3" fillId="0" borderId="0" applyAlignment="1" pivotButton="0" quotePrefix="0" xfId="39">
      <alignment horizontal="right" readingOrder="2"/>
    </xf>
    <xf numFmtId="167" fontId="14" fillId="0" borderId="0" applyAlignment="1" pivotButton="0" quotePrefix="0" xfId="39">
      <alignment horizontal="right" readingOrder="2"/>
    </xf>
    <xf numFmtId="167" fontId="15" fillId="0" borderId="0" applyAlignment="1" pivotButton="0" quotePrefix="0" xfId="39">
      <alignment horizontal="right" readingOrder="2"/>
    </xf>
    <xf numFmtId="164" fontId="0" fillId="0" borderId="0" applyAlignment="1" pivotButton="0" quotePrefix="1" xfId="0">
      <alignment horizontal="centerContinuous" vertical="center" readingOrder="2"/>
    </xf>
    <xf numFmtId="164" fontId="13" fillId="0" borderId="0" applyAlignment="1" pivotButton="0" quotePrefix="0" xfId="46">
      <alignment horizontal="right" vertical="center" readingOrder="2"/>
    </xf>
    <xf numFmtId="164" fontId="13" fillId="0" borderId="4" applyAlignment="1" pivotButton="0" quotePrefix="1" xfId="46">
      <alignment horizontal="right" vertical="center" readingOrder="2"/>
    </xf>
    <xf numFmtId="167" fontId="18" fillId="0" borderId="0" applyAlignment="1" pivotButton="0" quotePrefix="1" xfId="39">
      <alignment horizontal="centerContinuous" readingOrder="2"/>
    </xf>
    <xf numFmtId="167" fontId="3" fillId="0" borderId="0" applyAlignment="1" pivotButton="0" quotePrefix="0" xfId="39">
      <alignment horizontal="centerContinuous" readingOrder="2"/>
    </xf>
    <xf numFmtId="164" fontId="9" fillId="2" borderId="0" applyAlignment="1" pivotButton="0" quotePrefix="0" xfId="0">
      <alignment horizontal="right" vertical="center" readingOrder="2"/>
    </xf>
    <xf numFmtId="167" fontId="3" fillId="0" borderId="0" applyAlignment="1" pivotButton="0" quotePrefix="1" xfId="39">
      <alignment horizontal="right" readingOrder="2"/>
    </xf>
    <xf numFmtId="164" fontId="7" fillId="0" borderId="0" applyAlignment="1" pivotButton="0" quotePrefix="1" xfId="0">
      <alignment horizontal="centerContinuous" vertical="center" readingOrder="2"/>
    </xf>
    <xf numFmtId="164" fontId="7" fillId="0" borderId="0" applyAlignment="1" pivotButton="0" quotePrefix="0" xfId="0">
      <alignment horizontal="center" vertical="center" readingOrder="2"/>
    </xf>
    <xf numFmtId="38" fontId="21" fillId="0" borderId="0" applyAlignment="1" applyProtection="1" pivotButton="0" quotePrefix="0" xfId="0">
      <alignment horizontal="fill" vertical="justify" textRotation="180"/>
      <protection locked="0" hidden="0"/>
    </xf>
    <xf numFmtId="38" fontId="21" fillId="0" borderId="0" applyAlignment="1" applyProtection="1" pivotButton="0" quotePrefix="0" xfId="0">
      <alignment horizontal="fill" vertical="justify" textRotation="180"/>
      <protection locked="1" hidden="1"/>
    </xf>
    <xf numFmtId="38" fontId="21" fillId="0" borderId="0" applyAlignment="1" applyProtection="1" pivotButton="0" quotePrefix="0" xfId="0">
      <alignment horizontal="right"/>
      <protection locked="0" hidden="0"/>
    </xf>
    <xf numFmtId="168" fontId="21" fillId="0" borderId="0" applyAlignment="1" applyProtection="1" pivotButton="0" quotePrefix="0" xfId="0">
      <alignment horizontal="justify"/>
      <protection locked="0" hidden="0"/>
    </xf>
    <xf numFmtId="168" fontId="21" fillId="0" borderId="0" applyAlignment="1" applyProtection="1" pivotButton="0" quotePrefix="0" xfId="0">
      <alignment horizontal="justify" shrinkToFit="1"/>
      <protection locked="0" hidden="0"/>
    </xf>
    <xf numFmtId="38" fontId="21" fillId="0" borderId="0" applyAlignment="1" applyProtection="1" pivotButton="0" quotePrefix="0" xfId="0">
      <alignment horizontal="fill" vertical="justify" textRotation="180"/>
      <protection locked="0" hidden="0"/>
    </xf>
    <xf numFmtId="164" fontId="13" fillId="0" borderId="0" applyAlignment="1" pivotButton="0" quotePrefix="1" xfId="46">
      <alignment horizontal="right" vertical="center" readingOrder="2"/>
    </xf>
    <xf numFmtId="164" fontId="13" fillId="0" borderId="0" applyAlignment="1" pivotButton="0" quotePrefix="0" xfId="46">
      <alignment horizontal="centerContinuous" vertical="center" readingOrder="2"/>
    </xf>
    <xf numFmtId="169" fontId="10" fillId="3" borderId="0" applyAlignment="1" pivotButton="0" quotePrefix="0" xfId="32">
      <alignment horizontal="right" vertical="center" readingOrder="2"/>
    </xf>
    <xf numFmtId="167" fontId="14" fillId="0" borderId="0" applyAlignment="1" pivotButton="0" quotePrefix="0" xfId="39">
      <alignment horizontal="right" readingOrder="2"/>
    </xf>
    <xf numFmtId="164" fontId="0" fillId="0" borderId="0" applyAlignment="1" pivotButton="0" quotePrefix="0" xfId="0">
      <alignment horizontal="right" vertical="center" readingOrder="2"/>
    </xf>
    <xf numFmtId="167" fontId="3" fillId="0" borderId="0" applyAlignment="1" pivotButton="0" quotePrefix="0" xfId="39">
      <alignment horizontal="right" readingOrder="2"/>
    </xf>
    <xf numFmtId="164" fontId="0" fillId="4" borderId="0" applyAlignment="1" pivotButton="0" quotePrefix="0" xfId="0">
      <alignment horizontal="right" vertical="center" readingOrder="2"/>
    </xf>
    <xf numFmtId="169" fontId="10" fillId="4" borderId="0" applyAlignment="1" pivotButton="0" quotePrefix="0" xfId="32">
      <alignment horizontal="right" vertical="center" readingOrder="2"/>
    </xf>
    <xf numFmtId="164" fontId="0" fillId="4" borderId="0" applyAlignment="1" pivotButton="0" quotePrefix="0" xfId="0">
      <alignment horizontal="right" vertical="center"/>
    </xf>
    <xf numFmtId="164" fontId="12" fillId="4" borderId="0" applyAlignment="1" pivotButton="0" quotePrefix="0" xfId="0">
      <alignment horizontal="right" vertical="center" readingOrder="2"/>
    </xf>
    <xf numFmtId="164" fontId="11" fillId="4" borderId="0" applyAlignment="1" pivotButton="0" quotePrefix="0" xfId="0">
      <alignment horizontal="right" vertical="center" readingOrder="2"/>
    </xf>
    <xf numFmtId="170" fontId="0" fillId="4" borderId="0" applyAlignment="1" pivotButton="0" quotePrefix="0" xfId="40">
      <alignment horizontal="right" vertical="center" readingOrder="2"/>
    </xf>
    <xf numFmtId="171" fontId="0" fillId="4" borderId="0" applyAlignment="1" pivotButton="0" quotePrefix="0" xfId="0">
      <alignment horizontal="right" vertical="center" readingOrder="2"/>
    </xf>
    <xf numFmtId="168" fontId="0" fillId="0" borderId="0" applyAlignment="1" pivotButton="0" quotePrefix="0" xfId="0">
      <alignment horizontal="right" vertical="center" readingOrder="2"/>
    </xf>
    <xf numFmtId="164" fontId="0" fillId="0" borderId="0" applyAlignment="1" pivotButton="0" quotePrefix="0" xfId="0">
      <alignment horizontal="centerContinuous" vertical="center" readingOrder="2"/>
    </xf>
    <xf numFmtId="167" fontId="6" fillId="0" borderId="0" applyAlignment="1" pivotButton="0" quotePrefix="0" xfId="39">
      <alignment horizontal="right" readingOrder="2"/>
    </xf>
    <xf numFmtId="164" fontId="13" fillId="0" borderId="4" applyAlignment="1" pivotButton="0" quotePrefix="0" xfId="46">
      <alignment horizontal="right" vertical="center" readingOrder="2"/>
    </xf>
    <xf numFmtId="164" fontId="18" fillId="0" borderId="0" applyAlignment="1" pivotButton="0" quotePrefix="0" xfId="0">
      <alignment horizontal="center" vertical="center" readingOrder="2"/>
    </xf>
    <xf numFmtId="164" fontId="13" fillId="0" borderId="4" applyAlignment="1" pivotButton="0" quotePrefix="0" xfId="46">
      <alignment horizontal="center" vertical="center" readingOrder="2"/>
    </xf>
    <xf numFmtId="164" fontId="13" fillId="0" borderId="0" applyAlignment="1" pivotButton="0" quotePrefix="0" xfId="46">
      <alignment horizontal="center" vertical="center" readingOrder="2"/>
    </xf>
    <xf numFmtId="164" fontId="0" fillId="2" borderId="0" applyAlignment="1" pivotButton="0" quotePrefix="0" xfId="0">
      <alignment horizontal="center" vertical="center" readingOrder="2"/>
    </xf>
    <xf numFmtId="164" fontId="0" fillId="0" borderId="0" applyAlignment="1" pivotButton="0" quotePrefix="0" xfId="0">
      <alignment horizontal="center" vertical="center" readingOrder="2"/>
    </xf>
    <xf numFmtId="164" fontId="5" fillId="0" borderId="0" applyAlignment="1" pivotButton="0" quotePrefix="0" xfId="0">
      <alignment horizontal="center" vertical="center" readingOrder="2"/>
    </xf>
    <xf numFmtId="164" fontId="13" fillId="0" borderId="0" applyAlignment="1" pivotButton="0" quotePrefix="0" xfId="46">
      <alignment horizontal="center" vertical="center" readingOrder="2"/>
    </xf>
    <xf numFmtId="164" fontId="0" fillId="0" borderId="0" applyAlignment="1" pivotButton="0" quotePrefix="0" xfId="0">
      <alignment horizontal="center" vertical="center" readingOrder="2"/>
    </xf>
    <xf numFmtId="168" fontId="0" fillId="0" borderId="0" applyAlignment="1" pivotButton="0" quotePrefix="0" xfId="0">
      <alignment horizontal="center" vertical="center" readingOrder="2"/>
    </xf>
    <xf numFmtId="167" fontId="3" fillId="0" borderId="0" applyAlignment="1" pivotButton="0" quotePrefix="0" xfId="39">
      <alignment horizontal="center" readingOrder="2"/>
    </xf>
    <xf numFmtId="165" fontId="0" fillId="0" borderId="0" applyAlignment="1" pivotButton="0" quotePrefix="0" xfId="0">
      <alignment horizontal="center" vertical="center" readingOrder="2"/>
    </xf>
    <xf numFmtId="164" fontId="7" fillId="0" borderId="0" applyAlignment="1" pivotButton="0" quotePrefix="1" xfId="0">
      <alignment horizontal="center" vertical="center" readingOrder="2"/>
    </xf>
    <xf numFmtId="164" fontId="0" fillId="4" borderId="0" applyAlignment="1" pivotButton="0" quotePrefix="0" xfId="0">
      <alignment horizontal="center" vertical="center" readingOrder="2"/>
    </xf>
    <xf numFmtId="164" fontId="0" fillId="0" borderId="0" applyAlignment="1" pivotButton="0" quotePrefix="1" xfId="0">
      <alignment horizontal="right" vertical="center" readingOrder="2"/>
    </xf>
    <xf numFmtId="164" fontId="0" fillId="0" borderId="0" applyAlignment="1" pivotButton="0" quotePrefix="1" xfId="0">
      <alignment horizontal="left" vertical="center" readingOrder="2"/>
    </xf>
    <xf numFmtId="164" fontId="0" fillId="0" borderId="0" applyAlignment="1" pivotButton="0" quotePrefix="1" xfId="0">
      <alignment horizontal="center" vertical="center" readingOrder="2"/>
    </xf>
    <xf numFmtId="167" fontId="3" fillId="0" borderId="0" applyAlignment="1" pivotButton="0" quotePrefix="1" xfId="39">
      <alignment horizontal="center" readingOrder="2"/>
    </xf>
    <xf numFmtId="167" fontId="6" fillId="0" borderId="0" applyAlignment="1" pivotButton="0" quotePrefix="0" xfId="39">
      <alignment horizontal="right" readingOrder="2"/>
    </xf>
    <xf numFmtId="14" fontId="0" fillId="2" borderId="0" applyAlignment="1" pivotButton="0" quotePrefix="1" xfId="0">
      <alignment horizontal="right" vertical="center" readingOrder="2"/>
    </xf>
    <xf numFmtId="164" fontId="7" fillId="0" borderId="0" applyAlignment="1" pivotButton="0" quotePrefix="1" xfId="0">
      <alignment horizontal="right" vertical="center" readingOrder="2"/>
    </xf>
    <xf numFmtId="164" fontId="0" fillId="0" borderId="0" applyAlignment="1" pivotButton="0" quotePrefix="0" xfId="0">
      <alignment horizontal="justify" vertical="top" wrapText="1" readingOrder="2"/>
    </xf>
    <xf numFmtId="167" fontId="18" fillId="0" borderId="0" applyAlignment="1" pivotButton="0" quotePrefix="1" xfId="39">
      <alignment horizontal="center" readingOrder="2"/>
    </xf>
    <xf numFmtId="164" fontId="9" fillId="0" borderId="0" applyAlignment="1" pivotButton="0" quotePrefix="1" xfId="0">
      <alignment horizontal="right" vertical="center" readingOrder="2"/>
    </xf>
    <xf numFmtId="164" fontId="13" fillId="0" borderId="4" applyAlignment="1" pivotButton="0" quotePrefix="0" xfId="46">
      <alignment horizontal="right" vertical="center" readingOrder="2"/>
    </xf>
    <xf numFmtId="164" fontId="19" fillId="0" borderId="0" applyAlignment="1" pivotButton="0" quotePrefix="0" xfId="46">
      <alignment horizontal="center" vertical="center" readingOrder="2"/>
    </xf>
    <xf numFmtId="164" fontId="8" fillId="0" borderId="4" applyAlignment="1" pivotButton="0" quotePrefix="1" xfId="45">
      <alignment horizontal="right" vertical="center" readingOrder="2"/>
    </xf>
    <xf numFmtId="164" fontId="0" fillId="0" borderId="4" applyAlignment="1" pivotButton="0" quotePrefix="0" xfId="0">
      <alignment horizontal="right" vertical="center" readingOrder="2"/>
    </xf>
    <xf numFmtId="167" fontId="3" fillId="0" borderId="0" applyAlignment="1" pivotButton="0" quotePrefix="0" xfId="39">
      <alignment horizontal="right" readingOrder="2"/>
    </xf>
    <xf numFmtId="164" fontId="0" fillId="0" borderId="5" applyAlignment="1" pivotButton="0" quotePrefix="0" xfId="0">
      <alignment horizontal="right" vertical="center" readingOrder="2"/>
    </xf>
    <xf numFmtId="164" fontId="5" fillId="0" borderId="5" applyAlignment="1" pivotButton="0" quotePrefix="0" xfId="0">
      <alignment horizontal="centerContinuous" vertical="center" readingOrder="2"/>
    </xf>
    <xf numFmtId="164" fontId="5" fillId="0" borderId="5" applyAlignment="1" pivotButton="0" quotePrefix="0" xfId="0">
      <alignment horizontal="center" vertical="center" readingOrder="2"/>
    </xf>
    <xf numFmtId="164" fontId="19" fillId="0" borderId="5" applyAlignment="1" pivotButton="0" quotePrefix="0" xfId="46">
      <alignment horizontal="center" vertical="center" readingOrder="2"/>
    </xf>
    <xf numFmtId="164" fontId="19" fillId="0" borderId="0" applyAlignment="1" pivotButton="0" quotePrefix="0" xfId="46">
      <alignment horizontal="center" vertical="center" readingOrder="2"/>
    </xf>
    <xf numFmtId="164" fontId="0" fillId="0" borderId="4" applyAlignment="1" pivotButton="0" quotePrefix="0" xfId="0">
      <alignment horizontal="center" vertical="center" readingOrder="2"/>
    </xf>
    <xf numFmtId="164" fontId="28" fillId="0" borderId="0" applyAlignment="1" pivotButton="0" quotePrefix="1" xfId="45">
      <alignment horizontal="right" vertical="center" readingOrder="2"/>
    </xf>
    <xf numFmtId="164" fontId="28" fillId="0" borderId="0" applyAlignment="1" pivotButton="0" quotePrefix="1" xfId="45">
      <alignment horizontal="right" vertical="center" readingOrder="2"/>
    </xf>
    <xf numFmtId="164" fontId="3" fillId="0" borderId="0" applyAlignment="1" pivotButton="0" quotePrefix="0" xfId="45">
      <alignment horizontal="right" vertical="center" readingOrder="2"/>
    </xf>
    <xf numFmtId="167" fontId="18" fillId="0" borderId="0" applyAlignment="1" pivotButton="0" quotePrefix="1" xfId="39">
      <alignment readingOrder="2"/>
    </xf>
    <xf numFmtId="167" fontId="15" fillId="0" borderId="0" applyAlignment="1" pivotButton="0" quotePrefix="0" xfId="39">
      <alignment horizontal="right" readingOrder="2"/>
    </xf>
    <xf numFmtId="164" fontId="19" fillId="0" borderId="0" applyAlignment="1" pivotButton="0" quotePrefix="0" xfId="46">
      <alignment horizontal="right" vertical="center" readingOrder="2"/>
    </xf>
    <xf numFmtId="167" fontId="18" fillId="0" borderId="0" applyAlignment="1" pivotButton="0" quotePrefix="0" xfId="39">
      <alignment horizontal="right" readingOrder="2"/>
    </xf>
    <xf numFmtId="164" fontId="13" fillId="0" borderId="4" applyAlignment="1" pivotButton="0" quotePrefix="1" xfId="46">
      <alignment horizontal="right" vertical="center" readingOrder="2"/>
    </xf>
    <xf numFmtId="164" fontId="6" fillId="0" borderId="6" applyAlignment="1" pivotButton="0" quotePrefix="1" xfId="0">
      <alignment horizontal="right" vertical="center" readingOrder="2"/>
    </xf>
    <xf numFmtId="164" fontId="6" fillId="0" borderId="0" applyAlignment="1" pivotButton="0" quotePrefix="1" xfId="0">
      <alignment horizontal="right" vertical="center" readingOrder="2"/>
    </xf>
    <xf numFmtId="167" fontId="6" fillId="0" borderId="0" applyAlignment="1" pivotButton="0" quotePrefix="1" xfId="39">
      <alignment horizontal="right" readingOrder="2"/>
    </xf>
    <xf numFmtId="168" fontId="0" fillId="0" borderId="0" applyAlignment="1" pivotButton="0" quotePrefix="0" xfId="0">
      <alignment horizontal="right" vertical="top" readingOrder="2"/>
    </xf>
    <xf numFmtId="164" fontId="13" fillId="0" borderId="0" applyAlignment="1" pivotButton="0" quotePrefix="0" xfId="46">
      <alignment horizontal="right" vertical="center" readingOrder="2"/>
    </xf>
    <xf numFmtId="164" fontId="13" fillId="0" borderId="0" applyAlignment="1" pivotButton="0" quotePrefix="0" xfId="0">
      <alignment horizontal="right" vertical="center" readingOrder="2"/>
    </xf>
    <xf numFmtId="164" fontId="28" fillId="0" borderId="0" applyAlignment="1" pivotButton="0" quotePrefix="0" xfId="0">
      <alignment horizontal="right" vertical="center" readingOrder="2"/>
    </xf>
    <xf numFmtId="164" fontId="28" fillId="0" borderId="0" applyAlignment="1" pivotButton="0" quotePrefix="0" xfId="0">
      <alignment horizontal="center" vertical="center" readingOrder="2"/>
    </xf>
    <xf numFmtId="164" fontId="9" fillId="0" borderId="0" applyAlignment="1" pivotButton="0" quotePrefix="0" xfId="0">
      <alignment horizontal="right" vertical="center" readingOrder="2"/>
    </xf>
    <xf numFmtId="164" fontId="30" fillId="0" borderId="0" applyAlignment="1" pivotButton="0" quotePrefix="0" xfId="46">
      <alignment horizontal="right" vertical="center" readingOrder="2"/>
    </xf>
    <xf numFmtId="164" fontId="9" fillId="0" borderId="0" applyAlignment="1" pivotButton="0" quotePrefix="0" xfId="0">
      <alignment horizontal="center" vertical="center" readingOrder="2"/>
    </xf>
    <xf numFmtId="164" fontId="13" fillId="0" borderId="0" applyAlignment="1" pivotButton="0" quotePrefix="0" xfId="46">
      <alignment horizontal="right" vertical="center" readingOrder="2"/>
    </xf>
    <xf numFmtId="164" fontId="3" fillId="0" borderId="0" applyAlignment="1" pivotButton="0" quotePrefix="0" xfId="0">
      <alignment horizontal="center" vertical="center" readingOrder="2"/>
    </xf>
    <xf numFmtId="164" fontId="30" fillId="0" borderId="0" applyAlignment="1" pivotButton="0" quotePrefix="0" xfId="0">
      <alignment horizontal="center" vertical="center" readingOrder="2"/>
    </xf>
    <xf numFmtId="164" fontId="0" fillId="0" borderId="0" applyAlignment="1" pivotButton="0" quotePrefix="0" xfId="0">
      <alignment horizontal="right" vertical="center" readingOrder="2"/>
    </xf>
    <xf numFmtId="168" fontId="0" fillId="0" borderId="0" applyAlignment="1" pivotButton="0" quotePrefix="0" xfId="0">
      <alignment horizontal="right" vertical="top" readingOrder="2"/>
    </xf>
    <xf numFmtId="168" fontId="0" fillId="0" borderId="0" applyAlignment="1" pivotButton="0" quotePrefix="0" xfId="0">
      <alignment horizontal="center" vertical="top" readingOrder="2"/>
    </xf>
    <xf numFmtId="49" fontId="0" fillId="0" borderId="0" applyAlignment="1" pivotButton="0" quotePrefix="0" xfId="0">
      <alignment horizontal="right" vertical="top" readingOrder="2"/>
    </xf>
    <xf numFmtId="168" fontId="0" fillId="0" borderId="0" applyAlignment="1" pivotButton="0" quotePrefix="0" xfId="0">
      <alignment horizontal="center" vertical="top" readingOrder="2"/>
    </xf>
    <xf numFmtId="164" fontId="3" fillId="0" borderId="0" applyAlignment="1" pivotButton="0" quotePrefix="0" xfId="0">
      <alignment horizontal="right" vertical="center" readingOrder="2"/>
    </xf>
    <xf numFmtId="167" fontId="3" fillId="0" borderId="0" applyAlignment="1" pivotButton="0" quotePrefix="0" xfId="39">
      <alignment horizontal="right" readingOrder="2"/>
    </xf>
    <xf numFmtId="164" fontId="31" fillId="0" borderId="0" applyAlignment="1" pivotButton="0" quotePrefix="0" xfId="0">
      <alignment horizontal="right" vertical="center" readingOrder="2"/>
    </xf>
    <xf numFmtId="164" fontId="32" fillId="0" borderId="0" applyAlignment="1" pivotButton="0" quotePrefix="0" xfId="0">
      <alignment horizontal="right" vertical="center" readingOrder="2"/>
    </xf>
    <xf numFmtId="167" fontId="3" fillId="0" borderId="0" applyAlignment="1" pivotButton="0" quotePrefix="0" xfId="39">
      <alignment horizontal="right" readingOrder="2"/>
    </xf>
    <xf numFmtId="164" fontId="8" fillId="0" borderId="0" applyAlignment="1" pivotButton="0" quotePrefix="1" xfId="45">
      <alignment horizontal="right" vertical="center" readingOrder="2"/>
    </xf>
    <xf numFmtId="164" fontId="31" fillId="0" borderId="0" applyAlignment="1" pivotButton="0" quotePrefix="0" xfId="0">
      <alignment horizontal="right" vertical="center" readingOrder="2"/>
    </xf>
    <xf numFmtId="164" fontId="3" fillId="0" borderId="0" applyAlignment="1" pivotButton="0" quotePrefix="0" xfId="0">
      <alignment horizontal="center" vertical="top" wrapText="1" readingOrder="2"/>
    </xf>
    <xf numFmtId="167" fontId="3" fillId="0" borderId="5" applyAlignment="1" pivotButton="0" quotePrefix="0" xfId="39">
      <alignment horizontal="right" readingOrder="2"/>
    </xf>
    <xf numFmtId="164" fontId="13" fillId="0" borderId="0" applyAlignment="1" pivotButton="0" quotePrefix="1" xfId="46">
      <alignment horizontal="right" vertical="center" readingOrder="2"/>
    </xf>
    <xf numFmtId="164" fontId="13" fillId="0" borderId="0" applyAlignment="1" pivotButton="0" quotePrefix="0" xfId="46">
      <alignment horizontal="right" vertical="center" readingOrder="2"/>
    </xf>
    <xf numFmtId="168" fontId="31" fillId="0" borderId="0" pivotButton="0" quotePrefix="0" xfId="0"/>
    <xf numFmtId="164" fontId="34" fillId="0" borderId="7" applyAlignment="1" pivotButton="0" quotePrefix="0" xfId="0">
      <alignment horizontal="right" vertical="center" readingOrder="2"/>
    </xf>
    <xf numFmtId="164" fontId="0" fillId="0" borderId="8" applyAlignment="1" pivotButton="0" quotePrefix="0" xfId="0">
      <alignment horizontal="right" vertical="center" readingOrder="2"/>
    </xf>
    <xf numFmtId="164" fontId="0" fillId="0" borderId="9" applyAlignment="1" pivotButton="0" quotePrefix="0" xfId="0">
      <alignment horizontal="right" vertical="center" readingOrder="2"/>
    </xf>
    <xf numFmtId="164" fontId="32" fillId="0" borderId="10" applyAlignment="1" pivotButton="0" quotePrefix="0" xfId="0">
      <alignment horizontal="right" vertical="center" readingOrder="2"/>
    </xf>
    <xf numFmtId="0" fontId="6" fillId="0" borderId="11" applyAlignment="1" pivotButton="0" quotePrefix="1" xfId="39">
      <alignment horizontal="center" readingOrder="2"/>
    </xf>
    <xf numFmtId="167" fontId="0" fillId="0" borderId="0" applyAlignment="1" pivotButton="0" quotePrefix="0" xfId="39">
      <alignment horizontal="right" readingOrder="2"/>
    </xf>
    <xf numFmtId="167" fontId="0" fillId="0" borderId="0" applyAlignment="1" pivotButton="0" quotePrefix="1" xfId="39">
      <alignment horizontal="center" readingOrder="2"/>
    </xf>
    <xf numFmtId="168" fontId="6" fillId="0" borderId="0" applyAlignment="1" pivotButton="0" quotePrefix="0" xfId="0">
      <alignment horizontal="right" vertical="center" readingOrder="2"/>
    </xf>
    <xf numFmtId="168" fontId="7" fillId="0" borderId="0" applyAlignment="1" pivotButton="0" quotePrefix="0" xfId="0">
      <alignment horizontal="right" vertical="center" readingOrder="2"/>
    </xf>
    <xf numFmtId="164" fontId="0" fillId="0" borderId="4" applyAlignment="1" pivotButton="0" quotePrefix="0" xfId="0">
      <alignment horizontal="right" vertical="center" readingOrder="2"/>
    </xf>
    <xf numFmtId="164" fontId="0" fillId="0" borderId="4" applyAlignment="1" pivotButton="0" quotePrefix="0" xfId="0">
      <alignment horizontal="center" vertical="center" readingOrder="2"/>
    </xf>
    <xf numFmtId="0" fontId="38" fillId="0" borderId="0" applyAlignment="1" pivotButton="0" quotePrefix="0" xfId="33">
      <alignment horizontal="right" vertical="top"/>
    </xf>
    <xf numFmtId="164" fontId="0" fillId="0" borderId="0" applyAlignment="1" pivotButton="0" quotePrefix="0" xfId="0">
      <alignment horizontal="right" vertical="top" wrapText="1" readingOrder="2"/>
    </xf>
    <xf numFmtId="172" fontId="0" fillId="4" borderId="0" applyAlignment="1" pivotButton="0" quotePrefix="0" xfId="0">
      <alignment horizontal="right" vertical="center" readingOrder="2"/>
    </xf>
    <xf numFmtId="168" fontId="0" fillId="0" borderId="0" pivotButton="0" quotePrefix="0" xfId="0"/>
    <xf numFmtId="173" fontId="45" fillId="5" borderId="0" applyAlignment="1" pivotButton="0" quotePrefix="0" xfId="32">
      <alignment horizontal="right" vertical="top"/>
    </xf>
    <xf numFmtId="174" fontId="45" fillId="5" borderId="0" applyAlignment="1" pivotButton="0" quotePrefix="0" xfId="32">
      <alignment horizontal="right" vertical="top"/>
    </xf>
    <xf numFmtId="169" fontId="45" fillId="5" borderId="0" applyAlignment="1" pivotButton="0" quotePrefix="0" xfId="32">
      <alignment horizontal="right" vertical="top"/>
    </xf>
    <xf numFmtId="168" fontId="0" fillId="5" borderId="0" pivotButton="0" quotePrefix="0" xfId="0"/>
    <xf numFmtId="175" fontId="42" fillId="5" borderId="0" applyAlignment="1" pivotButton="0" quotePrefix="0" xfId="32">
      <alignment horizontal="right" vertical="top"/>
    </xf>
    <xf numFmtId="173" fontId="45" fillId="0" borderId="0" applyAlignment="1" pivotButton="0" quotePrefix="0" xfId="32">
      <alignment horizontal="right" vertical="top"/>
    </xf>
    <xf numFmtId="174" fontId="45" fillId="0" borderId="0" applyAlignment="1" pivotButton="0" quotePrefix="0" xfId="32">
      <alignment horizontal="right" vertical="top"/>
    </xf>
    <xf numFmtId="169" fontId="45" fillId="0" borderId="0" applyAlignment="1" pivotButton="0" quotePrefix="0" xfId="32">
      <alignment horizontal="right" vertical="top"/>
    </xf>
    <xf numFmtId="168" fontId="0" fillId="0" borderId="0" pivotButton="0" quotePrefix="0" xfId="0"/>
    <xf numFmtId="176" fontId="42" fillId="0" borderId="0" applyAlignment="1" pivotButton="0" quotePrefix="0" xfId="32">
      <alignment horizontal="right" vertical="top"/>
    </xf>
    <xf numFmtId="164" fontId="31" fillId="0" borderId="10" applyAlignment="1" pivotButton="0" quotePrefix="0" xfId="0">
      <alignment horizontal="right" vertical="center" readingOrder="2"/>
    </xf>
    <xf numFmtId="164" fontId="32" fillId="0" borderId="0" applyAlignment="1" pivotButton="0" quotePrefix="0" xfId="0">
      <alignment horizontal="right" vertical="center" readingOrder="2"/>
    </xf>
    <xf numFmtId="177" fontId="42" fillId="0" borderId="0" applyAlignment="1" pivotButton="0" quotePrefix="0" xfId="32">
      <alignment horizontal="right" vertical="top"/>
    </xf>
    <xf numFmtId="168" fontId="33" fillId="0" borderId="10" pivotButton="0" quotePrefix="0" xfId="0"/>
    <xf numFmtId="168" fontId="31" fillId="0" borderId="10" pivotButton="0" quotePrefix="0" xfId="0"/>
    <xf numFmtId="168" fontId="31" fillId="0" borderId="10" applyAlignment="1" pivotButton="0" quotePrefix="0" xfId="0">
      <alignment horizontal="right"/>
    </xf>
    <xf numFmtId="4" fontId="31" fillId="0" borderId="10" pivotButton="0" quotePrefix="0" xfId="0"/>
    <xf numFmtId="164" fontId="31" fillId="0" borderId="0" applyAlignment="1" pivotButton="0" quotePrefix="0" xfId="0">
      <alignment horizontal="right" vertical="center" readingOrder="2"/>
    </xf>
    <xf numFmtId="173" fontId="36" fillId="0" borderId="0" applyAlignment="1" pivotButton="0" quotePrefix="0" xfId="33">
      <alignment horizontal="right" vertical="top"/>
    </xf>
    <xf numFmtId="174" fontId="36" fillId="0" borderId="0" applyAlignment="1" pivotButton="0" quotePrefix="0" xfId="33">
      <alignment horizontal="right" vertical="top"/>
    </xf>
    <xf numFmtId="0" fontId="36" fillId="0" borderId="0" applyAlignment="1" pivotButton="0" quotePrefix="0" xfId="33">
      <alignment horizontal="right" vertical="top"/>
    </xf>
    <xf numFmtId="0" fontId="35" fillId="0" borderId="0" pivotButton="0" quotePrefix="0" xfId="36"/>
    <xf numFmtId="178" fontId="37" fillId="0" borderId="0" applyAlignment="1" pivotButton="0" quotePrefix="0" xfId="33">
      <alignment horizontal="right" vertical="top"/>
    </xf>
    <xf numFmtId="178" fontId="42" fillId="0" borderId="0" applyAlignment="1" pivotButton="0" quotePrefix="0" xfId="32">
      <alignment horizontal="right" vertical="top"/>
    </xf>
    <xf numFmtId="176" fontId="37" fillId="0" borderId="0" applyAlignment="1" pivotButton="0" quotePrefix="0" xfId="33">
      <alignment horizontal="right" vertical="top"/>
    </xf>
    <xf numFmtId="168" fontId="33" fillId="0" borderId="10" applyAlignment="1" pivotButton="0" quotePrefix="0" xfId="0">
      <alignment horizontal="right"/>
    </xf>
    <xf numFmtId="4" fontId="33" fillId="0" borderId="10" pivotButton="0" quotePrefix="0" xfId="0"/>
    <xf numFmtId="175" fontId="42" fillId="0" borderId="0" applyAlignment="1" pivotButton="0" quotePrefix="0" xfId="32">
      <alignment horizontal="right" vertical="top"/>
    </xf>
    <xf numFmtId="164" fontId="0" fillId="0" borderId="10" applyAlignment="1" pivotButton="0" quotePrefix="0" xfId="0">
      <alignment horizontal="right" vertical="center" readingOrder="2"/>
    </xf>
    <xf numFmtId="179" fontId="37" fillId="0" borderId="0" applyAlignment="1" pivotButton="0" quotePrefix="0" xfId="33">
      <alignment horizontal="right" vertical="top"/>
    </xf>
    <xf numFmtId="168" fontId="31" fillId="0" borderId="0" applyAlignment="1" pivotButton="0" quotePrefix="0" xfId="0">
      <alignment horizontal="right"/>
    </xf>
    <xf numFmtId="164" fontId="32" fillId="0" borderId="0" applyAlignment="1" pivotButton="0" quotePrefix="0" xfId="0">
      <alignment horizontal="right" vertical="center" readingOrder="2"/>
    </xf>
    <xf numFmtId="173" fontId="45" fillId="5" borderId="10" applyAlignment="1" pivotButton="0" quotePrefix="0" xfId="32">
      <alignment horizontal="right" vertical="top"/>
    </xf>
    <xf numFmtId="174" fontId="45" fillId="5" borderId="10" applyAlignment="1" pivotButton="0" quotePrefix="0" xfId="32">
      <alignment horizontal="right" vertical="top"/>
    </xf>
    <xf numFmtId="169" fontId="45" fillId="5" borderId="10" applyAlignment="1" pivotButton="0" quotePrefix="0" xfId="32">
      <alignment horizontal="right" vertical="top"/>
    </xf>
    <xf numFmtId="177" fontId="42" fillId="5" borderId="10" applyAlignment="1" pivotButton="0" quotePrefix="0" xfId="32">
      <alignment horizontal="right" vertical="top"/>
    </xf>
    <xf numFmtId="168" fontId="0" fillId="5" borderId="10" pivotButton="0" quotePrefix="0" xfId="0"/>
    <xf numFmtId="176" fontId="42" fillId="5" borderId="10" applyAlignment="1" pivotButton="0" quotePrefix="0" xfId="32">
      <alignment horizontal="right" vertical="top"/>
    </xf>
    <xf numFmtId="178" fontId="42" fillId="5" borderId="10" applyAlignment="1" pivotButton="0" quotePrefix="0" xfId="32">
      <alignment horizontal="right" vertical="top"/>
    </xf>
    <xf numFmtId="164" fontId="0" fillId="0" borderId="0" applyAlignment="1" pivotButton="0" quotePrefix="0" xfId="0">
      <alignment horizontal="right" vertical="center" readingOrder="2"/>
    </xf>
    <xf numFmtId="0" fontId="46" fillId="0" borderId="0" pivotButton="0" quotePrefix="0" xfId="37"/>
    <xf numFmtId="0" fontId="39" fillId="0" borderId="0" applyAlignment="1" pivotButton="0" quotePrefix="0" xfId="34">
      <alignment horizontal="right" vertical="top"/>
    </xf>
    <xf numFmtId="0" fontId="41" fillId="0" borderId="0" applyAlignment="1" pivotButton="0" quotePrefix="0" xfId="34">
      <alignment horizontal="left" vertical="top"/>
    </xf>
    <xf numFmtId="0" fontId="40" fillId="0" borderId="0" applyAlignment="1" pivotButton="0" quotePrefix="0" xfId="34">
      <alignment horizontal="right" vertical="top"/>
    </xf>
    <xf numFmtId="0" fontId="45" fillId="0" borderId="0" applyAlignment="1" pivotButton="0" quotePrefix="0" xfId="34">
      <alignment horizontal="right" vertical="top"/>
    </xf>
    <xf numFmtId="0" fontId="42" fillId="0" borderId="0" applyAlignment="1" pivotButton="0" quotePrefix="0" xfId="34">
      <alignment horizontal="right" vertical="top"/>
    </xf>
    <xf numFmtId="0" fontId="43" fillId="0" borderId="12" applyAlignment="1" pivotButton="0" quotePrefix="0" xfId="34">
      <alignment horizontal="right" vertical="top"/>
    </xf>
    <xf numFmtId="0" fontId="44" fillId="0" borderId="0" applyAlignment="1" pivotButton="0" quotePrefix="0" xfId="34">
      <alignment horizontal="right" vertical="top"/>
    </xf>
    <xf numFmtId="177" fontId="42" fillId="0" borderId="0" applyAlignment="1" pivotButton="0" quotePrefix="0" xfId="34">
      <alignment horizontal="right" vertical="top"/>
    </xf>
    <xf numFmtId="174" fontId="45" fillId="0" borderId="0" applyAlignment="1" pivotButton="0" quotePrefix="0" xfId="34">
      <alignment horizontal="right" vertical="top"/>
    </xf>
    <xf numFmtId="173" fontId="45" fillId="0" borderId="0" applyAlignment="1" pivotButton="0" quotePrefix="0" xfId="34">
      <alignment horizontal="right" vertical="top"/>
    </xf>
    <xf numFmtId="175" fontId="42" fillId="0" borderId="0" applyAlignment="1" pivotButton="0" quotePrefix="0" xfId="34">
      <alignment horizontal="right" vertical="top"/>
    </xf>
    <xf numFmtId="180" fontId="42" fillId="0" borderId="0" applyAlignment="1" pivotButton="0" quotePrefix="0" xfId="34">
      <alignment horizontal="right" vertical="top"/>
    </xf>
    <xf numFmtId="181" fontId="42" fillId="0" borderId="0" applyAlignment="1" pivotButton="0" quotePrefix="0" xfId="34">
      <alignment horizontal="right" vertical="top"/>
    </xf>
    <xf numFmtId="178" fontId="42" fillId="0" borderId="0" applyAlignment="1" pivotButton="0" quotePrefix="0" xfId="34">
      <alignment horizontal="right" vertical="top"/>
    </xf>
    <xf numFmtId="176" fontId="42" fillId="0" borderId="0" applyAlignment="1" pivotButton="0" quotePrefix="0" xfId="34">
      <alignment horizontal="right" vertical="top"/>
    </xf>
    <xf numFmtId="182" fontId="42" fillId="0" borderId="0" applyAlignment="1" pivotButton="0" quotePrefix="0" xfId="34">
      <alignment horizontal="right" vertical="top"/>
    </xf>
    <xf numFmtId="2" fontId="42" fillId="0" borderId="0" applyAlignment="1" pivotButton="0" quotePrefix="0" xfId="34">
      <alignment horizontal="right" vertical="top"/>
    </xf>
    <xf numFmtId="183" fontId="42" fillId="0" borderId="0" applyAlignment="1" pivotButton="0" quotePrefix="0" xfId="34">
      <alignment horizontal="right" vertical="top"/>
    </xf>
    <xf numFmtId="184" fontId="42" fillId="0" borderId="0" applyAlignment="1" pivotButton="0" quotePrefix="0" xfId="34">
      <alignment horizontal="right" vertical="top"/>
    </xf>
    <xf numFmtId="173" fontId="45" fillId="6" borderId="0" applyAlignment="1" pivotButton="0" quotePrefix="0" xfId="34">
      <alignment horizontal="right" vertical="top"/>
    </xf>
    <xf numFmtId="174" fontId="45" fillId="6" borderId="0" applyAlignment="1" pivotButton="0" quotePrefix="0" xfId="34">
      <alignment horizontal="right" vertical="top"/>
    </xf>
    <xf numFmtId="0" fontId="45" fillId="6" borderId="0" applyAlignment="1" pivotButton="0" quotePrefix="0" xfId="34">
      <alignment horizontal="right" vertical="top"/>
    </xf>
    <xf numFmtId="177" fontId="42" fillId="6" borderId="0" applyAlignment="1" pivotButton="0" quotePrefix="0" xfId="34">
      <alignment horizontal="right" vertical="top"/>
    </xf>
    <xf numFmtId="0" fontId="46" fillId="6" borderId="0" pivotButton="0" quotePrefix="0" xfId="37"/>
    <xf numFmtId="175" fontId="42" fillId="6" borderId="0" applyAlignment="1" pivotButton="0" quotePrefix="0" xfId="34">
      <alignment horizontal="right" vertical="top"/>
    </xf>
    <xf numFmtId="178" fontId="42" fillId="6" borderId="0" applyAlignment="1" pivotButton="0" quotePrefix="0" xfId="34">
      <alignment horizontal="right" vertical="top"/>
    </xf>
    <xf numFmtId="176" fontId="42" fillId="6" borderId="0" applyAlignment="1" pivotButton="0" quotePrefix="0" xfId="34">
      <alignment horizontal="right" vertical="top"/>
    </xf>
    <xf numFmtId="2" fontId="42" fillId="6" borderId="0" applyAlignment="1" pivotButton="0" quotePrefix="0" xfId="34">
      <alignment horizontal="right" vertical="top"/>
    </xf>
    <xf numFmtId="179" fontId="42" fillId="6" borderId="0" applyAlignment="1" pivotButton="0" quotePrefix="0" xfId="34">
      <alignment horizontal="right" vertical="top"/>
    </xf>
    <xf numFmtId="173" fontId="45" fillId="5" borderId="0" applyAlignment="1" pivotButton="0" quotePrefix="0" xfId="34">
      <alignment horizontal="right" vertical="top"/>
    </xf>
    <xf numFmtId="174" fontId="45" fillId="5" borderId="0" applyAlignment="1" pivotButton="0" quotePrefix="0" xfId="34">
      <alignment horizontal="right" vertical="top"/>
    </xf>
    <xf numFmtId="0" fontId="45" fillId="5" borderId="0" applyAlignment="1" pivotButton="0" quotePrefix="0" xfId="34">
      <alignment horizontal="right" vertical="top"/>
    </xf>
    <xf numFmtId="178" fontId="42" fillId="5" borderId="0" applyAlignment="1" pivotButton="0" quotePrefix="0" xfId="34">
      <alignment horizontal="right" vertical="top"/>
    </xf>
    <xf numFmtId="177" fontId="42" fillId="5" borderId="0" applyAlignment="1" pivotButton="0" quotePrefix="0" xfId="34">
      <alignment horizontal="right" vertical="top"/>
    </xf>
    <xf numFmtId="0" fontId="46" fillId="5" borderId="0" pivotButton="0" quotePrefix="0" xfId="37"/>
    <xf numFmtId="176" fontId="42" fillId="5" borderId="0" applyAlignment="1" pivotButton="0" quotePrefix="0" xfId="34">
      <alignment horizontal="right" vertical="top"/>
    </xf>
    <xf numFmtId="175" fontId="42" fillId="5" borderId="0" applyAlignment="1" pivotButton="0" quotePrefix="0" xfId="34">
      <alignment horizontal="right" vertical="top"/>
    </xf>
    <xf numFmtId="173" fontId="45" fillId="0" borderId="10" applyAlignment="1" pivotButton="0" quotePrefix="0" xfId="32">
      <alignment horizontal="right" vertical="top"/>
    </xf>
    <xf numFmtId="174" fontId="45" fillId="0" borderId="10" applyAlignment="1" pivotButton="0" quotePrefix="0" xfId="32">
      <alignment horizontal="right" vertical="top"/>
    </xf>
    <xf numFmtId="169" fontId="45" fillId="0" borderId="10" applyAlignment="1" pivotButton="0" quotePrefix="0" xfId="32">
      <alignment horizontal="right" vertical="top"/>
    </xf>
    <xf numFmtId="176" fontId="42" fillId="0" borderId="10" applyAlignment="1" pivotButton="0" quotePrefix="0" xfId="32">
      <alignment horizontal="right" vertical="top"/>
    </xf>
    <xf numFmtId="168" fontId="0" fillId="0" borderId="10" pivotButton="0" quotePrefix="0" xfId="0"/>
    <xf numFmtId="173" fontId="45" fillId="0" borderId="0" applyAlignment="1" pivotButton="0" quotePrefix="0" xfId="34">
      <alignment horizontal="right" vertical="top"/>
    </xf>
    <xf numFmtId="174" fontId="45" fillId="0" borderId="0" applyAlignment="1" pivotButton="0" quotePrefix="0" xfId="34">
      <alignment horizontal="right" vertical="top"/>
    </xf>
    <xf numFmtId="0" fontId="45" fillId="0" borderId="0" applyAlignment="1" pivotButton="0" quotePrefix="0" xfId="34">
      <alignment horizontal="right" vertical="top"/>
    </xf>
    <xf numFmtId="0" fontId="46" fillId="0" borderId="0" pivotButton="0" quotePrefix="0" xfId="37"/>
    <xf numFmtId="176" fontId="42" fillId="0" borderId="0" applyAlignment="1" pivotButton="0" quotePrefix="0" xfId="34">
      <alignment horizontal="right" vertical="top"/>
    </xf>
    <xf numFmtId="181" fontId="42" fillId="5" borderId="0" applyAlignment="1" pivotButton="0" quotePrefix="0" xfId="34">
      <alignment horizontal="right" vertical="top"/>
    </xf>
    <xf numFmtId="179" fontId="42" fillId="5" borderId="0" applyAlignment="1" pivotButton="0" quotePrefix="0" xfId="34">
      <alignment horizontal="right" vertical="top"/>
    </xf>
    <xf numFmtId="164" fontId="0" fillId="0" borderId="0" applyAlignment="1" pivotButton="0" quotePrefix="0" xfId="0">
      <alignment vertical="top" readingOrder="2"/>
    </xf>
    <xf numFmtId="0" fontId="6" fillId="0" borderId="0" applyAlignment="1" pivotButton="0" quotePrefix="1" xfId="39">
      <alignment horizontal="center" readingOrder="2"/>
    </xf>
    <xf numFmtId="185" fontId="45" fillId="6" borderId="0" applyAlignment="1" pivotButton="0" quotePrefix="0" xfId="34">
      <alignment horizontal="right" vertical="top"/>
    </xf>
    <xf numFmtId="181" fontId="42" fillId="6" borderId="0" applyAlignment="1" pivotButton="0" quotePrefix="0" xfId="34">
      <alignment horizontal="right" vertical="top"/>
    </xf>
    <xf numFmtId="186" fontId="42" fillId="0" borderId="0" applyAlignment="1" pivotButton="0" quotePrefix="0" xfId="34">
      <alignment horizontal="right" vertical="top"/>
    </xf>
    <xf numFmtId="173" fontId="45" fillId="7" borderId="0" applyAlignment="1" pivotButton="0" quotePrefix="0" xfId="34">
      <alignment horizontal="right" vertical="top"/>
    </xf>
    <xf numFmtId="174" fontId="45" fillId="7" borderId="0" applyAlignment="1" pivotButton="0" quotePrefix="0" xfId="34">
      <alignment horizontal="right" vertical="top"/>
    </xf>
    <xf numFmtId="0" fontId="45" fillId="7" borderId="0" applyAlignment="1" pivotButton="0" quotePrefix="0" xfId="34">
      <alignment horizontal="right" vertical="top"/>
    </xf>
    <xf numFmtId="178" fontId="42" fillId="7" borderId="0" applyAlignment="1" pivotButton="0" quotePrefix="0" xfId="34">
      <alignment horizontal="right" vertical="top"/>
    </xf>
    <xf numFmtId="177" fontId="42" fillId="7" borderId="0" applyAlignment="1" pivotButton="0" quotePrefix="0" xfId="34">
      <alignment horizontal="right" vertical="top"/>
    </xf>
    <xf numFmtId="185" fontId="45" fillId="7" borderId="0" applyAlignment="1" pivotButton="0" quotePrefix="0" xfId="34">
      <alignment horizontal="right" vertical="top"/>
    </xf>
    <xf numFmtId="168" fontId="0" fillId="7" borderId="0" pivotButton="0" quotePrefix="0" xfId="0"/>
    <xf numFmtId="176" fontId="42" fillId="7" borderId="0" applyAlignment="1" pivotButton="0" quotePrefix="0" xfId="34">
      <alignment horizontal="right" vertical="top"/>
    </xf>
    <xf numFmtId="175" fontId="42" fillId="7" borderId="0" applyAlignment="1" pivotButton="0" quotePrefix="0" xfId="34">
      <alignment horizontal="right" vertical="top"/>
    </xf>
    <xf numFmtId="181" fontId="42" fillId="7" borderId="0" applyAlignment="1" pivotButton="0" quotePrefix="0" xfId="34">
      <alignment horizontal="right" vertical="top"/>
    </xf>
    <xf numFmtId="179" fontId="42" fillId="7" borderId="0" applyAlignment="1" pivotButton="0" quotePrefix="0" xfId="34">
      <alignment horizontal="right" vertical="top"/>
    </xf>
    <xf numFmtId="168" fontId="47" fillId="0" borderId="0" applyAlignment="1" pivotButton="0" quotePrefix="0" xfId="0">
      <alignment horizontal="right" vertical="top"/>
    </xf>
    <xf numFmtId="4" fontId="48" fillId="0" borderId="0" applyAlignment="1" pivotButton="0" quotePrefix="0" xfId="0">
      <alignment horizontal="right" vertical="top"/>
    </xf>
    <xf numFmtId="0" fontId="49" fillId="0" borderId="0" pivotButton="0" quotePrefix="0" xfId="38"/>
    <xf numFmtId="0" fontId="50" fillId="0" borderId="0" applyAlignment="1" pivotButton="0" quotePrefix="0" xfId="38">
      <alignment horizontal="right" vertical="top"/>
    </xf>
    <xf numFmtId="0" fontId="47" fillId="0" borderId="0" applyAlignment="1" pivotButton="0" quotePrefix="0" xfId="38">
      <alignment horizontal="right" vertical="top"/>
    </xf>
    <xf numFmtId="0" fontId="51" fillId="0" borderId="0" applyAlignment="1" pivotButton="0" quotePrefix="0" xfId="38">
      <alignment horizontal="right" vertical="top"/>
    </xf>
    <xf numFmtId="4" fontId="48" fillId="0" borderId="0" applyAlignment="1" pivotButton="0" quotePrefix="0" xfId="38">
      <alignment horizontal="right" vertical="top"/>
    </xf>
    <xf numFmtId="0" fontId="52" fillId="0" borderId="0" applyAlignment="1" pivotButton="0" quotePrefix="0" xfId="38">
      <alignment horizontal="right" vertical="top"/>
    </xf>
    <xf numFmtId="0" fontId="53" fillId="0" borderId="0" applyAlignment="1" pivotButton="0" quotePrefix="0" xfId="38">
      <alignment horizontal="left" vertical="top"/>
    </xf>
    <xf numFmtId="0" fontId="54" fillId="0" borderId="0" applyAlignment="1" pivotButton="0" quotePrefix="0" xfId="38">
      <alignment horizontal="right" vertical="top"/>
    </xf>
    <xf numFmtId="0" fontId="48" fillId="0" borderId="0" applyAlignment="1" pivotButton="0" quotePrefix="0" xfId="38">
      <alignment horizontal="right" vertical="top"/>
    </xf>
    <xf numFmtId="0" fontId="47" fillId="6" borderId="0" applyAlignment="1" pivotButton="0" quotePrefix="0" xfId="38">
      <alignment horizontal="right" vertical="top"/>
    </xf>
    <xf numFmtId="4" fontId="48" fillId="6" borderId="0" applyAlignment="1" pivotButton="0" quotePrefix="0" xfId="38">
      <alignment horizontal="right" vertical="top"/>
    </xf>
    <xf numFmtId="0" fontId="49" fillId="6" borderId="0" pivotButton="0" quotePrefix="0" xfId="38"/>
    <xf numFmtId="1" fontId="0" fillId="2" borderId="0" applyAlignment="1" pivotButton="0" quotePrefix="1" xfId="0">
      <alignment horizontal="left" vertical="center" wrapText="1" readingOrder="2"/>
    </xf>
    <xf numFmtId="164" fontId="0" fillId="0" borderId="0" applyAlignment="1" pivotButton="0" quotePrefix="0" xfId="0">
      <alignment horizontal="right" vertical="center" wrapText="1" readingOrder="2"/>
    </xf>
    <xf numFmtId="164" fontId="0" fillId="0" borderId="0" applyAlignment="1" pivotButton="0" quotePrefix="0" xfId="0">
      <alignment horizontal="right" vertical="top" wrapText="1" readingOrder="2"/>
    </xf>
    <xf numFmtId="164" fontId="20" fillId="0" borderId="0" applyAlignment="1" pivotButton="0" quotePrefix="0" xfId="46">
      <alignment horizontal="center" vertical="center" readingOrder="2"/>
    </xf>
    <xf numFmtId="164" fontId="7" fillId="0" borderId="0" applyAlignment="1" pivotButton="0" quotePrefix="0" xfId="0">
      <alignment horizontal="center" vertical="center" readingOrder="2"/>
    </xf>
    <xf numFmtId="1" fontId="0" fillId="0" borderId="0" applyAlignment="1" pivotButton="0" quotePrefix="0" xfId="0">
      <alignment horizontal="right" vertical="top" wrapText="1" readingOrder="2"/>
    </xf>
    <xf numFmtId="164" fontId="19" fillId="0" borderId="0" applyAlignment="1" pivotButton="0" quotePrefix="0" xfId="46">
      <alignment horizontal="center" vertical="center" readingOrder="2"/>
    </xf>
    <xf numFmtId="164" fontId="13" fillId="0" borderId="0" applyAlignment="1" pivotButton="0" quotePrefix="0" xfId="46">
      <alignment horizontal="center" vertical="center" readingOrder="2"/>
    </xf>
    <xf numFmtId="164" fontId="13" fillId="0" borderId="0" applyAlignment="1" pivotButton="0" quotePrefix="0" xfId="46">
      <alignment horizontal="center" vertical="center" readingOrder="2"/>
    </xf>
    <xf numFmtId="164" fontId="0" fillId="0" borderId="0" applyAlignment="1" pivotButton="0" quotePrefix="1" xfId="0">
      <alignment horizontal="right" vertical="top" wrapText="1" readingOrder="2"/>
    </xf>
    <xf numFmtId="164" fontId="7" fillId="0" borderId="0" applyAlignment="1" pivotButton="0" quotePrefix="1" xfId="0">
      <alignment horizontal="center" vertical="center" readingOrder="2"/>
    </xf>
    <xf numFmtId="164" fontId="6" fillId="0" borderId="0" applyAlignment="1" pivotButton="0" quotePrefix="1" xfId="0">
      <alignment horizontal="center" vertical="center" readingOrder="2"/>
    </xf>
    <xf numFmtId="164" fontId="6" fillId="0" borderId="0" applyAlignment="1" pivotButton="0" quotePrefix="0" xfId="0">
      <alignment horizontal="center" vertical="center" readingOrder="2"/>
    </xf>
    <xf numFmtId="1" fontId="0" fillId="0" borderId="0" applyAlignment="1" pivotButton="0" quotePrefix="0" xfId="0">
      <alignment horizontal="justify" vertical="top" wrapText="1" readingOrder="2"/>
    </xf>
    <xf numFmtId="164" fontId="3" fillId="0" borderId="0" applyAlignment="1" pivotButton="0" quotePrefix="0" xfId="0">
      <alignment horizontal="right" vertical="top" wrapText="1" readingOrder="2"/>
    </xf>
    <xf numFmtId="164" fontId="6" fillId="0" borderId="4" applyAlignment="1" pivotButton="0" quotePrefix="0" xfId="0">
      <alignment horizontal="center" vertical="center" readingOrder="2"/>
    </xf>
    <xf numFmtId="164" fontId="7" fillId="0" borderId="0" applyAlignment="1" pivotButton="0" quotePrefix="0" xfId="0">
      <alignment horizontal="center" vertical="top" wrapText="1" readingOrder="2"/>
    </xf>
    <xf numFmtId="164" fontId="9" fillId="0" borderId="0" applyAlignment="1" pivotButton="0" quotePrefix="0" xfId="0">
      <alignment horizontal="center" vertical="top" wrapText="1" readingOrder="2"/>
    </xf>
    <xf numFmtId="0" fontId="0" fillId="0" borderId="0" pivotButton="0" quotePrefix="0" xfId="0"/>
    <xf numFmtId="164" fontId="32" fillId="0" borderId="0" applyAlignment="1" pivotButton="0" quotePrefix="0" xfId="0">
      <alignment horizontal="right" vertical="center" readingOrder="2"/>
    </xf>
    <xf numFmtId="164" fontId="32" fillId="0" borderId="10" applyAlignment="1" pivotButton="0" quotePrefix="0" xfId="0">
      <alignment horizontal="right" vertical="center" readingOrder="2"/>
    </xf>
    <xf numFmtId="173" fontId="45" fillId="6" borderId="0" applyAlignment="1" pivotButton="0" quotePrefix="0" xfId="34">
      <alignment horizontal="right" vertical="top"/>
    </xf>
    <xf numFmtId="174" fontId="45" fillId="6" borderId="0" applyAlignment="1" pivotButton="0" quotePrefix="0" xfId="34">
      <alignment horizontal="right" vertical="top"/>
    </xf>
    <xf numFmtId="177" fontId="42" fillId="6" borderId="0" applyAlignment="1" pivotButton="0" quotePrefix="0" xfId="34">
      <alignment horizontal="right" vertical="top"/>
    </xf>
    <xf numFmtId="168" fontId="0" fillId="5" borderId="10" pivotButton="0" quotePrefix="0" xfId="0"/>
    <xf numFmtId="164" fontId="31" fillId="0" borderId="10" applyAlignment="1" pivotButton="0" quotePrefix="0" xfId="0">
      <alignment horizontal="right" vertical="center" readingOrder="2"/>
    </xf>
    <xf numFmtId="173" fontId="45" fillId="0" borderId="0" applyAlignment="1" pivotButton="0" quotePrefix="0" xfId="32">
      <alignment horizontal="right" vertical="top"/>
    </xf>
    <xf numFmtId="174" fontId="45" fillId="0" borderId="0" applyAlignment="1" pivotButton="0" quotePrefix="0" xfId="32">
      <alignment horizontal="right" vertical="top"/>
    </xf>
    <xf numFmtId="169" fontId="45" fillId="0" borderId="0" applyAlignment="1" pivotButton="0" quotePrefix="0" xfId="32">
      <alignment horizontal="right" vertical="top"/>
    </xf>
    <xf numFmtId="177" fontId="42" fillId="0" borderId="0" applyAlignment="1" pivotButton="0" quotePrefix="0" xfId="32">
      <alignment horizontal="right" vertical="top"/>
    </xf>
    <xf numFmtId="168" fontId="31" fillId="0" borderId="10" pivotButton="0" quotePrefix="0" xfId="0"/>
    <xf numFmtId="168" fontId="31" fillId="0" borderId="10" applyAlignment="1" pivotButton="0" quotePrefix="0" xfId="0">
      <alignment horizontal="right"/>
    </xf>
    <xf numFmtId="164" fontId="31" fillId="0" borderId="0" applyAlignment="1" pivotButton="0" quotePrefix="0" xfId="0">
      <alignment horizontal="right" vertical="center" readingOrder="2"/>
    </xf>
    <xf numFmtId="175" fontId="42" fillId="6" borderId="0" applyAlignment="1" pivotButton="0" quotePrefix="0" xfId="34">
      <alignment horizontal="right" vertical="top"/>
    </xf>
    <xf numFmtId="164" fontId="0" fillId="0" borderId="0" applyAlignment="1" pivotButton="0" quotePrefix="0" xfId="0">
      <alignment horizontal="right" vertical="center" readingOrder="2"/>
    </xf>
    <xf numFmtId="178" fontId="42" fillId="6" borderId="0" applyAlignment="1" pivotButton="0" quotePrefix="0" xfId="34">
      <alignment horizontal="right" vertical="top"/>
    </xf>
    <xf numFmtId="168" fontId="33" fillId="0" borderId="10" pivotButton="0" quotePrefix="0" xfId="0"/>
    <xf numFmtId="176" fontId="42" fillId="6" borderId="0" applyAlignment="1" pivotButton="0" quotePrefix="0" xfId="34">
      <alignment horizontal="right" vertical="top"/>
    </xf>
    <xf numFmtId="168" fontId="33" fillId="0" borderId="10" applyAlignment="1" pivotButton="0" quotePrefix="0" xfId="0">
      <alignment horizontal="right"/>
    </xf>
    <xf numFmtId="164" fontId="34" fillId="0" borderId="7" applyAlignment="1" pivotButton="0" quotePrefix="0" xfId="0">
      <alignment horizontal="right" vertical="center" readingOrder="2"/>
    </xf>
    <xf numFmtId="168" fontId="0" fillId="0" borderId="0" pivotButton="0" quotePrefix="0" xfId="0"/>
    <xf numFmtId="164" fontId="0" fillId="0" borderId="8" applyAlignment="1" pivotButton="0" quotePrefix="0" xfId="0">
      <alignment horizontal="right" vertical="center" readingOrder="2"/>
    </xf>
    <xf numFmtId="164" fontId="0" fillId="0" borderId="9" applyAlignment="1" pivotButton="0" quotePrefix="0" xfId="0">
      <alignment horizontal="right" vertical="center" readingOrder="2"/>
    </xf>
    <xf numFmtId="173" fontId="45" fillId="5" borderId="10" applyAlignment="1" pivotButton="0" quotePrefix="0" xfId="32">
      <alignment horizontal="right" vertical="top"/>
    </xf>
    <xf numFmtId="174" fontId="45" fillId="5" borderId="10" applyAlignment="1" pivotButton="0" quotePrefix="0" xfId="32">
      <alignment horizontal="right" vertical="top"/>
    </xf>
    <xf numFmtId="169" fontId="45" fillId="5" borderId="10" applyAlignment="1" pivotButton="0" quotePrefix="0" xfId="32">
      <alignment horizontal="right" vertical="top"/>
    </xf>
    <xf numFmtId="176" fontId="42" fillId="5" borderId="10" applyAlignment="1" pivotButton="0" quotePrefix="0" xfId="32">
      <alignment horizontal="right" vertical="top"/>
    </xf>
    <xf numFmtId="178" fontId="42" fillId="0" borderId="0" applyAlignment="1" pivotButton="0" quotePrefix="0" xfId="32">
      <alignment horizontal="right" vertical="top"/>
    </xf>
    <xf numFmtId="173" fontId="45" fillId="5" borderId="0" applyAlignment="1" pivotButton="0" quotePrefix="0" xfId="32">
      <alignment horizontal="right" vertical="top"/>
    </xf>
    <xf numFmtId="174" fontId="45" fillId="5" borderId="0" applyAlignment="1" pivotButton="0" quotePrefix="0" xfId="32">
      <alignment horizontal="right" vertical="top"/>
    </xf>
    <xf numFmtId="169" fontId="45" fillId="5" borderId="0" applyAlignment="1" pivotButton="0" quotePrefix="0" xfId="32">
      <alignment horizontal="right" vertical="top"/>
    </xf>
    <xf numFmtId="168" fontId="0" fillId="5" borderId="0" pivotButton="0" quotePrefix="0" xfId="0"/>
    <xf numFmtId="175" fontId="42" fillId="5" borderId="0" applyAlignment="1" pivotButton="0" quotePrefix="0" xfId="32">
      <alignment horizontal="right" vertical="top"/>
    </xf>
    <xf numFmtId="164" fontId="0" fillId="0" borderId="10" applyAlignment="1" pivotButton="0" quotePrefix="0" xfId="0">
      <alignment horizontal="right" vertical="center" readingOrder="2"/>
    </xf>
    <xf numFmtId="176" fontId="42" fillId="0" borderId="0" applyAlignment="1" pivotButton="0" quotePrefix="0" xfId="32">
      <alignment horizontal="right" vertical="top"/>
    </xf>
    <xf numFmtId="178" fontId="42" fillId="5" borderId="10" applyAlignment="1" pivotButton="0" quotePrefix="0" xfId="32">
      <alignment horizontal="right" vertical="top"/>
    </xf>
    <xf numFmtId="173" fontId="36" fillId="0" borderId="0" applyAlignment="1" pivotButton="0" quotePrefix="0" xfId="33">
      <alignment horizontal="right" vertical="top"/>
    </xf>
    <xf numFmtId="174" fontId="36" fillId="0" borderId="0" applyAlignment="1" pivotButton="0" quotePrefix="0" xfId="33">
      <alignment horizontal="right" vertical="top"/>
    </xf>
    <xf numFmtId="178" fontId="37" fillId="0" borderId="0" applyAlignment="1" pivotButton="0" quotePrefix="0" xfId="33">
      <alignment horizontal="right" vertical="top"/>
    </xf>
    <xf numFmtId="175" fontId="42" fillId="0" borderId="0" applyAlignment="1" pivotButton="0" quotePrefix="0" xfId="32">
      <alignment horizontal="right" vertical="top"/>
    </xf>
    <xf numFmtId="179" fontId="42" fillId="6" borderId="0" applyAlignment="1" pivotButton="0" quotePrefix="0" xfId="34">
      <alignment horizontal="right" vertical="top"/>
    </xf>
    <xf numFmtId="176" fontId="37" fillId="0" borderId="0" applyAlignment="1" pivotButton="0" quotePrefix="0" xfId="33">
      <alignment horizontal="right" vertical="top"/>
    </xf>
    <xf numFmtId="177" fontId="42" fillId="5" borderId="10" applyAlignment="1" pivotButton="0" quotePrefix="0" xfId="32">
      <alignment horizontal="right" vertical="top"/>
    </xf>
    <xf numFmtId="179" fontId="37" fillId="0" borderId="0" applyAlignment="1" pivotButton="0" quotePrefix="0" xfId="33">
      <alignment horizontal="right" vertical="top"/>
    </xf>
    <xf numFmtId="168" fontId="31" fillId="0" borderId="0" pivotButton="0" quotePrefix="0" xfId="0"/>
    <xf numFmtId="168" fontId="31" fillId="0" borderId="0" applyAlignment="1" pivotButton="0" quotePrefix="0" xfId="0">
      <alignment horizontal="right"/>
    </xf>
    <xf numFmtId="173" fontId="45" fillId="5" borderId="0" applyAlignment="1" pivotButton="0" quotePrefix="0" xfId="34">
      <alignment horizontal="right" vertical="top"/>
    </xf>
    <xf numFmtId="174" fontId="45" fillId="5" borderId="0" applyAlignment="1" pivotButton="0" quotePrefix="0" xfId="34">
      <alignment horizontal="right" vertical="top"/>
    </xf>
    <xf numFmtId="178" fontId="42" fillId="5" borderId="0" applyAlignment="1" pivotButton="0" quotePrefix="0" xfId="34">
      <alignment horizontal="right" vertical="top"/>
    </xf>
    <xf numFmtId="177" fontId="42" fillId="5" borderId="0" applyAlignment="1" pivotButton="0" quotePrefix="0" xfId="34">
      <alignment horizontal="right" vertical="top"/>
    </xf>
    <xf numFmtId="176" fontId="42" fillId="5" borderId="0" applyAlignment="1" pivotButton="0" quotePrefix="0" xfId="34">
      <alignment horizontal="right" vertical="top"/>
    </xf>
    <xf numFmtId="175" fontId="42" fillId="5" borderId="0" applyAlignment="1" pivotButton="0" quotePrefix="0" xfId="34">
      <alignment horizontal="right" vertical="top"/>
    </xf>
    <xf numFmtId="173" fontId="45" fillId="0" borderId="10" applyAlignment="1" pivotButton="0" quotePrefix="0" xfId="32">
      <alignment horizontal="right" vertical="top"/>
    </xf>
    <xf numFmtId="174" fontId="45" fillId="0" borderId="10" applyAlignment="1" pivotButton="0" quotePrefix="0" xfId="32">
      <alignment horizontal="right" vertical="top"/>
    </xf>
    <xf numFmtId="169" fontId="45" fillId="0" borderId="10" applyAlignment="1" pivotButton="0" quotePrefix="0" xfId="32">
      <alignment horizontal="right" vertical="top"/>
    </xf>
    <xf numFmtId="176" fontId="42" fillId="0" borderId="10" applyAlignment="1" pivotButton="0" quotePrefix="0" xfId="32">
      <alignment horizontal="right" vertical="top"/>
    </xf>
    <xf numFmtId="168" fontId="0" fillId="0" borderId="10" pivotButton="0" quotePrefix="0" xfId="0"/>
    <xf numFmtId="173" fontId="45" fillId="0" borderId="0" applyAlignment="1" pivotButton="0" quotePrefix="0" xfId="34">
      <alignment horizontal="right" vertical="top"/>
    </xf>
    <xf numFmtId="174" fontId="45" fillId="0" borderId="0" applyAlignment="1" pivotButton="0" quotePrefix="0" xfId="34">
      <alignment horizontal="right" vertical="top"/>
    </xf>
    <xf numFmtId="176" fontId="42" fillId="0" borderId="0" applyAlignment="1" pivotButton="0" quotePrefix="0" xfId="34">
      <alignment horizontal="right" vertical="top"/>
    </xf>
    <xf numFmtId="181" fontId="42" fillId="5" borderId="0" applyAlignment="1" pivotButton="0" quotePrefix="0" xfId="34">
      <alignment horizontal="right" vertical="top"/>
    </xf>
    <xf numFmtId="179" fontId="42" fillId="5" borderId="0" applyAlignment="1" pivotButton="0" quotePrefix="0" xfId="34">
      <alignment horizontal="right" vertical="top"/>
    </xf>
    <xf numFmtId="185" fontId="45" fillId="6" borderId="0" applyAlignment="1" pivotButton="0" quotePrefix="0" xfId="34">
      <alignment horizontal="right" vertical="top"/>
    </xf>
    <xf numFmtId="177" fontId="42" fillId="0" borderId="0" applyAlignment="1" pivotButton="0" quotePrefix="0" xfId="34">
      <alignment horizontal="right" vertical="top"/>
    </xf>
    <xf numFmtId="178" fontId="42" fillId="0" borderId="0" applyAlignment="1" pivotButton="0" quotePrefix="0" xfId="34">
      <alignment horizontal="right" vertical="top"/>
    </xf>
    <xf numFmtId="183" fontId="42" fillId="0" borderId="0" applyAlignment="1" pivotButton="0" quotePrefix="0" xfId="34">
      <alignment horizontal="right" vertical="top"/>
    </xf>
    <xf numFmtId="182" fontId="42" fillId="0" borderId="0" applyAlignment="1" pivotButton="0" quotePrefix="0" xfId="34">
      <alignment horizontal="right" vertical="top"/>
    </xf>
    <xf numFmtId="175" fontId="42" fillId="0" borderId="0" applyAlignment="1" pivotButton="0" quotePrefix="0" xfId="34">
      <alignment horizontal="right" vertical="top"/>
    </xf>
    <xf numFmtId="181" fontId="42" fillId="6" borderId="0" applyAlignment="1" pivotButton="0" quotePrefix="0" xfId="34">
      <alignment horizontal="right" vertical="top"/>
    </xf>
    <xf numFmtId="181" fontId="42" fillId="0" borderId="0" applyAlignment="1" pivotButton="0" quotePrefix="0" xfId="34">
      <alignment horizontal="right" vertical="top"/>
    </xf>
    <xf numFmtId="184" fontId="42" fillId="0" borderId="0" applyAlignment="1" pivotButton="0" quotePrefix="0" xfId="34">
      <alignment horizontal="right" vertical="top"/>
    </xf>
    <xf numFmtId="186" fontId="42" fillId="0" borderId="0" applyAlignment="1" pivotButton="0" quotePrefix="0" xfId="34">
      <alignment horizontal="right" vertical="top"/>
    </xf>
    <xf numFmtId="180" fontId="42" fillId="0" borderId="0" applyAlignment="1" pivotButton="0" quotePrefix="0" xfId="34">
      <alignment horizontal="right" vertical="top"/>
    </xf>
    <xf numFmtId="173" fontId="45" fillId="7" borderId="0" applyAlignment="1" pivotButton="0" quotePrefix="0" xfId="34">
      <alignment horizontal="right" vertical="top"/>
    </xf>
    <xf numFmtId="185" fontId="45" fillId="7" borderId="0" applyAlignment="1" pivotButton="0" quotePrefix="0" xfId="34">
      <alignment horizontal="right" vertical="top"/>
    </xf>
    <xf numFmtId="168" fontId="0" fillId="7" borderId="0" pivotButton="0" quotePrefix="0" xfId="0"/>
    <xf numFmtId="176" fontId="42" fillId="7" borderId="0" applyAlignment="1" pivotButton="0" quotePrefix="0" xfId="34">
      <alignment horizontal="right" vertical="top"/>
    </xf>
    <xf numFmtId="174" fontId="45" fillId="7" borderId="0" applyAlignment="1" pivotButton="0" quotePrefix="0" xfId="34">
      <alignment horizontal="right" vertical="top"/>
    </xf>
    <xf numFmtId="178" fontId="42" fillId="7" borderId="0" applyAlignment="1" pivotButton="0" quotePrefix="0" xfId="34">
      <alignment horizontal="right" vertical="top"/>
    </xf>
    <xf numFmtId="177" fontId="42" fillId="7" borderId="0" applyAlignment="1" pivotButton="0" quotePrefix="0" xfId="34">
      <alignment horizontal="right" vertical="top"/>
    </xf>
    <xf numFmtId="175" fontId="42" fillId="7" borderId="0" applyAlignment="1" pivotButton="0" quotePrefix="0" xfId="34">
      <alignment horizontal="right" vertical="top"/>
    </xf>
    <xf numFmtId="181" fontId="42" fillId="7" borderId="0" applyAlignment="1" pivotButton="0" quotePrefix="0" xfId="34">
      <alignment horizontal="right" vertical="top"/>
    </xf>
    <xf numFmtId="179" fontId="42" fillId="7" borderId="0" applyAlignment="1" pivotButton="0" quotePrefix="0" xfId="34">
      <alignment horizontal="right" vertical="top"/>
    </xf>
    <xf numFmtId="168" fontId="47" fillId="0" borderId="0" applyAlignment="1" pivotButton="0" quotePrefix="0" xfId="0">
      <alignment horizontal="right" vertical="top"/>
    </xf>
    <xf numFmtId="169" fontId="10" fillId="3" borderId="0" applyAlignment="1" pivotButton="0" quotePrefix="0" xfId="32">
      <alignment horizontal="right" vertical="center" readingOrder="2"/>
    </xf>
    <xf numFmtId="164" fontId="0" fillId="0" borderId="0" applyAlignment="1" pivotButton="0" quotePrefix="0" xfId="0">
      <alignment horizontal="center" vertical="center" readingOrder="2"/>
    </xf>
    <xf numFmtId="164" fontId="0" fillId="4" borderId="0" applyAlignment="1" pivotButton="0" quotePrefix="0" xfId="0">
      <alignment horizontal="right" vertical="center" readingOrder="2"/>
    </xf>
    <xf numFmtId="164" fontId="0" fillId="2" borderId="0" applyAlignment="1" pivotButton="0" quotePrefix="1" xfId="0">
      <alignment horizontal="right" vertical="center" readingOrder="2"/>
    </xf>
    <xf numFmtId="164" fontId="0" fillId="2" borderId="0" applyAlignment="1" pivotButton="0" quotePrefix="0" xfId="0">
      <alignment horizontal="right" vertical="center" readingOrder="2"/>
    </xf>
    <xf numFmtId="164" fontId="0" fillId="4" borderId="0" applyAlignment="1" pivotButton="0" quotePrefix="0" xfId="0">
      <alignment horizontal="right" vertical="center"/>
    </xf>
    <xf numFmtId="164" fontId="9" fillId="2" borderId="0" applyAlignment="1" pivotButton="0" quotePrefix="0" xfId="0">
      <alignment horizontal="right" vertical="center" readingOrder="2"/>
    </xf>
    <xf numFmtId="164" fontId="0" fillId="2" borderId="0" applyAlignment="1" pivotButton="0" quotePrefix="0" xfId="0">
      <alignment horizontal="center" vertical="center" readingOrder="2"/>
    </xf>
    <xf numFmtId="166" fontId="0" fillId="2" borderId="0" applyAlignment="1" pivotButton="0" quotePrefix="0" xfId="0">
      <alignment horizontal="right" vertical="center" readingOrder="2"/>
    </xf>
    <xf numFmtId="164" fontId="19" fillId="0" borderId="0" applyAlignment="1" pivotButton="0" quotePrefix="0" xfId="46">
      <alignment horizontal="center" vertical="center" readingOrder="2"/>
    </xf>
    <xf numFmtId="164" fontId="19" fillId="0" borderId="5" applyAlignment="1" pivotButton="0" quotePrefix="0" xfId="46">
      <alignment horizontal="center" vertical="center" readingOrder="2"/>
    </xf>
    <xf numFmtId="164" fontId="19" fillId="0" borderId="0" applyAlignment="1" pivotButton="0" quotePrefix="0" xfId="46">
      <alignment horizontal="right" vertical="center" readingOrder="2"/>
    </xf>
    <xf numFmtId="164" fontId="0" fillId="0" borderId="5" applyAlignment="1" pivotButton="0" quotePrefix="0" xfId="0">
      <alignment horizontal="right" vertical="center" readingOrder="2"/>
    </xf>
    <xf numFmtId="164" fontId="5" fillId="0" borderId="5" applyAlignment="1" pivotButton="0" quotePrefix="0" xfId="0">
      <alignment horizontal="centerContinuous" vertical="center" readingOrder="2"/>
    </xf>
    <xf numFmtId="164" fontId="5" fillId="0" borderId="5" applyAlignment="1" pivotButton="0" quotePrefix="0" xfId="0">
      <alignment horizontal="center" vertical="center" readingOrder="2"/>
    </xf>
    <xf numFmtId="164" fontId="5" fillId="0" borderId="0" applyAlignment="1" pivotButton="0" quotePrefix="0" xfId="0">
      <alignment horizontal="centerContinuous" vertical="center" readingOrder="2"/>
    </xf>
    <xf numFmtId="164" fontId="5" fillId="0" borderId="0" applyAlignment="1" pivotButton="0" quotePrefix="0" xfId="0">
      <alignment horizontal="center" vertical="center" readingOrder="2"/>
    </xf>
    <xf numFmtId="164" fontId="4" fillId="0" borderId="0" applyAlignment="1" pivotButton="0" quotePrefix="0" xfId="46">
      <alignment horizontal="centerContinuous" vertical="center" readingOrder="2"/>
    </xf>
    <xf numFmtId="164" fontId="20" fillId="0" borderId="0" applyAlignment="1" pivotButton="0" quotePrefix="0" xfId="46">
      <alignment horizontal="center" vertical="center" readingOrder="2"/>
    </xf>
    <xf numFmtId="164" fontId="7" fillId="0" borderId="0" applyAlignment="1" pivotButton="0" quotePrefix="0" xfId="0">
      <alignment horizontal="center" vertical="center" readingOrder="2"/>
    </xf>
    <xf numFmtId="164" fontId="6" fillId="0" borderId="0" applyAlignment="1" pivotButton="0" quotePrefix="0" xfId="0">
      <alignment horizontal="right" vertical="center" readingOrder="2"/>
    </xf>
    <xf numFmtId="164" fontId="0" fillId="0" borderId="0" applyAlignment="1" pivotButton="0" quotePrefix="0" xfId="0">
      <alignment horizontal="centerContinuous" vertical="center" readingOrder="2"/>
    </xf>
    <xf numFmtId="164" fontId="0" fillId="0" borderId="0" applyAlignment="1" pivotButton="0" quotePrefix="1" xfId="0">
      <alignment horizontal="right" vertical="center" readingOrder="2"/>
    </xf>
    <xf numFmtId="164" fontId="0" fillId="0" borderId="0" applyAlignment="1" pivotButton="0" quotePrefix="1" xfId="0">
      <alignment horizontal="centerContinuous" vertical="center" readingOrder="2"/>
    </xf>
    <xf numFmtId="164" fontId="0" fillId="0" borderId="4" applyAlignment="1" pivotButton="0" quotePrefix="0" xfId="0">
      <alignment horizontal="right" vertical="center" readingOrder="2"/>
    </xf>
    <xf numFmtId="164" fontId="0" fillId="0" borderId="4" applyAlignment="1" pivotButton="0" quotePrefix="0" xfId="0">
      <alignment horizontal="center" vertical="center" readingOrder="2"/>
    </xf>
    <xf numFmtId="164" fontId="13" fillId="0" borderId="0" applyAlignment="1" pivotButton="0" quotePrefix="0" xfId="46">
      <alignment horizontal="center" vertical="center" readingOrder="2"/>
    </xf>
    <xf numFmtId="168" fontId="0" fillId="0" borderId="0" applyAlignment="1" pivotButton="0" quotePrefix="0" xfId="0">
      <alignment horizontal="right" vertical="center" readingOrder="2"/>
    </xf>
    <xf numFmtId="168" fontId="0" fillId="0" borderId="0" applyAlignment="1" pivotButton="0" quotePrefix="0" xfId="0">
      <alignment horizontal="center" vertical="center" readingOrder="2"/>
    </xf>
    <xf numFmtId="164" fontId="0" fillId="0" borderId="0" applyAlignment="1" pivotButton="0" quotePrefix="1" xfId="0">
      <alignment horizontal="right" vertical="top" wrapText="1" readingOrder="2"/>
    </xf>
    <xf numFmtId="164" fontId="12" fillId="0" borderId="0" applyAlignment="1" pivotButton="0" quotePrefix="0" xfId="0">
      <alignment horizontal="right" vertical="center" readingOrder="2"/>
    </xf>
    <xf numFmtId="164" fontId="13" fillId="0" borderId="0" applyAlignment="1" pivotButton="0" quotePrefix="0" xfId="46">
      <alignment horizontal="right" vertical="center" readingOrder="2"/>
    </xf>
    <xf numFmtId="164" fontId="13" fillId="0" borderId="0" applyAlignment="1" pivotButton="0" quotePrefix="0" xfId="46">
      <alignment horizontal="centerContinuous" vertical="center" readingOrder="2"/>
    </xf>
    <xf numFmtId="164" fontId="12" fillId="4" borderId="0" applyAlignment="1" pivotButton="0" quotePrefix="0" xfId="0">
      <alignment horizontal="right" vertical="center" readingOrder="2"/>
    </xf>
    <xf numFmtId="164" fontId="11" fillId="0" borderId="0" applyAlignment="1" pivotButton="0" quotePrefix="0" xfId="0">
      <alignment horizontal="right" vertical="center" readingOrder="2"/>
    </xf>
    <xf numFmtId="164" fontId="13" fillId="0" borderId="4" applyAlignment="1" pivotButton="0" quotePrefix="0" xfId="46">
      <alignment horizontal="right" vertical="center" readingOrder="2"/>
    </xf>
    <xf numFmtId="164" fontId="13" fillId="0" borderId="4" applyAlignment="1" pivotButton="0" quotePrefix="0" xfId="46">
      <alignment horizontal="centerContinuous" vertical="center" readingOrder="2"/>
    </xf>
    <xf numFmtId="164" fontId="13" fillId="0" borderId="4" applyAlignment="1" pivotButton="0" quotePrefix="0" xfId="46">
      <alignment horizontal="center" vertical="center" readingOrder="2"/>
    </xf>
    <xf numFmtId="164" fontId="11" fillId="4" borderId="0" applyAlignment="1" pivotButton="0" quotePrefix="0" xfId="0">
      <alignment horizontal="right" vertical="center" readingOrder="2"/>
    </xf>
    <xf numFmtId="164" fontId="6" fillId="0" borderId="0" applyAlignment="1" pivotButton="0" quotePrefix="0" xfId="0">
      <alignment horizontal="center" vertical="center" readingOrder="2"/>
    </xf>
    <xf numFmtId="164" fontId="7" fillId="0" borderId="0" applyAlignment="1" pivotButton="0" quotePrefix="0" xfId="0">
      <alignment horizontal="centerContinuous" vertical="center" readingOrder="2"/>
    </xf>
    <xf numFmtId="164" fontId="7" fillId="0" borderId="0" applyAlignment="1" pivotButton="0" quotePrefix="0" xfId="0">
      <alignment horizontal="right" vertical="center" readingOrder="2"/>
    </xf>
    <xf numFmtId="164" fontId="0" fillId="0" borderId="0" applyAlignment="1" pivotButton="0" quotePrefix="1" xfId="0">
      <alignment horizontal="center" vertical="center" readingOrder="2"/>
    </xf>
    <xf numFmtId="167" fontId="3" fillId="0" borderId="0" applyAlignment="1" pivotButton="0" quotePrefix="0" xfId="39">
      <alignment horizontal="right" readingOrder="2"/>
    </xf>
    <xf numFmtId="167" fontId="14" fillId="0" borderId="0" applyAlignment="1" pivotButton="0" quotePrefix="0" xfId="39">
      <alignment horizontal="right" readingOrder="2"/>
    </xf>
    <xf numFmtId="167" fontId="3" fillId="0" borderId="5" applyAlignment="1" pivotButton="0" quotePrefix="0" xfId="39">
      <alignment horizontal="right" readingOrder="2"/>
    </xf>
    <xf numFmtId="167" fontId="3" fillId="0" borderId="0" applyAlignment="1" pivotButton="0" quotePrefix="1" xfId="39">
      <alignment horizontal="center" readingOrder="2"/>
    </xf>
    <xf numFmtId="167" fontId="3" fillId="0" borderId="0" applyAlignment="1" pivotButton="0" quotePrefix="0" xfId="39">
      <alignment horizontal="centerContinuous" readingOrder="2"/>
    </xf>
    <xf numFmtId="167" fontId="18" fillId="0" borderId="0" applyAlignment="1" pivotButton="0" quotePrefix="0" xfId="39">
      <alignment horizontal="right" readingOrder="2"/>
    </xf>
    <xf numFmtId="167" fontId="15" fillId="0" borderId="0" applyAlignment="1" pivotButton="0" quotePrefix="0" xfId="39">
      <alignment horizontal="right" readingOrder="2"/>
    </xf>
    <xf numFmtId="167" fontId="3" fillId="0" borderId="0" applyAlignment="1" pivotButton="0" quotePrefix="0" xfId="39">
      <alignment horizontal="center" readingOrder="2"/>
    </xf>
    <xf numFmtId="167" fontId="6" fillId="0" borderId="0" applyAlignment="1" pivotButton="0" quotePrefix="0" xfId="39">
      <alignment horizontal="right" readingOrder="2"/>
    </xf>
    <xf numFmtId="164" fontId="13" fillId="0" borderId="4" applyAlignment="1" pivotButton="0" quotePrefix="1" xfId="46">
      <alignment horizontal="right" vertical="center" readingOrder="2"/>
    </xf>
    <xf numFmtId="164" fontId="7" fillId="0" borderId="0" applyAlignment="1" pivotButton="0" quotePrefix="1" xfId="0">
      <alignment horizontal="center" vertical="center" readingOrder="2"/>
    </xf>
    <xf numFmtId="164" fontId="6" fillId="0" borderId="0" applyAlignment="1" pivotButton="0" quotePrefix="1" xfId="0">
      <alignment horizontal="center" vertical="center" readingOrder="2"/>
    </xf>
    <xf numFmtId="167" fontId="0" fillId="0" borderId="0" applyAlignment="1" pivotButton="0" quotePrefix="0" xfId="39">
      <alignment horizontal="right" readingOrder="2"/>
    </xf>
    <xf numFmtId="172" fontId="0" fillId="4" borderId="0" applyAlignment="1" pivotButton="0" quotePrefix="0" xfId="0">
      <alignment horizontal="right" vertical="center" readingOrder="2"/>
    </xf>
    <xf numFmtId="167" fontId="3" fillId="0" borderId="0" applyAlignment="1" pivotButton="0" quotePrefix="1" xfId="39">
      <alignment horizontal="right" readingOrder="2"/>
    </xf>
    <xf numFmtId="167" fontId="0" fillId="0" borderId="0" applyAlignment="1" pivotButton="0" quotePrefix="1" xfId="39">
      <alignment horizontal="center" readingOrder="2"/>
    </xf>
    <xf numFmtId="170" fontId="0" fillId="4" borderId="0" applyAlignment="1" pivotButton="0" quotePrefix="0" xfId="40">
      <alignment horizontal="right" vertical="center" readingOrder="2"/>
    </xf>
    <xf numFmtId="167" fontId="6" fillId="0" borderId="0" applyAlignment="1" pivotButton="0" quotePrefix="1" xfId="39">
      <alignment horizontal="right" readingOrder="2"/>
    </xf>
    <xf numFmtId="164" fontId="3" fillId="0" borderId="0" applyAlignment="1" pivotButton="0" quotePrefix="0" xfId="0">
      <alignment horizontal="right" vertical="center" readingOrder="2"/>
    </xf>
    <xf numFmtId="165" fontId="0" fillId="0" borderId="0" applyAlignment="1" pivotButton="0" quotePrefix="0" xfId="0">
      <alignment horizontal="center" vertical="center" readingOrder="2"/>
    </xf>
    <xf numFmtId="165" fontId="0" fillId="0" borderId="0" applyAlignment="1" pivotButton="0" quotePrefix="0" xfId="0">
      <alignment horizontal="right" vertical="center" readingOrder="2"/>
    </xf>
    <xf numFmtId="164" fontId="28" fillId="0" borderId="0" applyAlignment="1" pivotButton="0" quotePrefix="1" xfId="45">
      <alignment horizontal="right" vertical="center" readingOrder="2"/>
    </xf>
    <xf numFmtId="164" fontId="0" fillId="0" borderId="0" applyAlignment="1" pivotButton="0" quotePrefix="1" xfId="0">
      <alignment horizontal="left" vertical="center" readingOrder="2"/>
    </xf>
    <xf numFmtId="164" fontId="6" fillId="0" borderId="0" applyAlignment="1" pivotButton="0" quotePrefix="1" xfId="0">
      <alignment horizontal="right" vertical="center" readingOrder="2"/>
    </xf>
    <xf numFmtId="164" fontId="7" fillId="0" borderId="0" applyAlignment="1" pivotButton="0" quotePrefix="1" xfId="0">
      <alignment horizontal="right" vertical="center" readingOrder="2"/>
    </xf>
    <xf numFmtId="164" fontId="9" fillId="0" borderId="0" applyAlignment="1" pivotButton="0" quotePrefix="1" xfId="0">
      <alignment horizontal="right" vertical="center" readingOrder="2"/>
    </xf>
    <xf numFmtId="164" fontId="0" fillId="0" borderId="0" applyAlignment="1" pivotButton="0" quotePrefix="0" xfId="0">
      <alignment horizontal="right" vertical="top" wrapText="1" readingOrder="2"/>
    </xf>
    <xf numFmtId="168" fontId="21" fillId="0" borderId="0" applyAlignment="1" applyProtection="1" pivotButton="0" quotePrefix="0" xfId="0">
      <alignment horizontal="justify"/>
      <protection locked="0" hidden="0"/>
    </xf>
    <xf numFmtId="168" fontId="21" fillId="0" borderId="0" applyAlignment="1" applyProtection="1" pivotButton="0" quotePrefix="0" xfId="0">
      <alignment horizontal="justify" shrinkToFit="1"/>
      <protection locked="0" hidden="0"/>
    </xf>
    <xf numFmtId="171" fontId="0" fillId="4" borderId="0" applyAlignment="1" pivotButton="0" quotePrefix="0" xfId="0">
      <alignment horizontal="right" vertical="center" readingOrder="2"/>
    </xf>
    <xf numFmtId="164" fontId="0" fillId="0" borderId="0" applyAlignment="1" pivotButton="0" quotePrefix="0" xfId="0">
      <alignment horizontal="justify" vertical="top" wrapText="1" readingOrder="2"/>
    </xf>
    <xf numFmtId="164" fontId="3" fillId="0" borderId="0" applyAlignment="1" pivotButton="0" quotePrefix="0" xfId="0">
      <alignment horizontal="right" vertical="top" wrapText="1" readingOrder="2"/>
    </xf>
    <xf numFmtId="164" fontId="0" fillId="0" borderId="0" applyAlignment="1" pivotButton="0" quotePrefix="0" xfId="0">
      <alignment vertical="top" readingOrder="2"/>
    </xf>
    <xf numFmtId="164" fontId="13" fillId="0" borderId="0" applyAlignment="1" pivotButton="0" quotePrefix="1" xfId="46">
      <alignment horizontal="right" vertical="center" readingOrder="2"/>
    </xf>
    <xf numFmtId="164" fontId="8" fillId="0" borderId="0" applyAlignment="1" pivotButton="0" quotePrefix="1" xfId="45">
      <alignment horizontal="right" vertical="center" readingOrder="2"/>
    </xf>
    <xf numFmtId="164" fontId="6" fillId="0" borderId="4" applyAlignment="1" pivotButton="0" quotePrefix="0" xfId="0">
      <alignment horizontal="center" vertical="center" readingOrder="2"/>
    </xf>
    <xf numFmtId="0" fontId="0" fillId="0" borderId="4" pivotButton="0" quotePrefix="0" xfId="0"/>
    <xf numFmtId="167" fontId="18" fillId="0" borderId="0" applyAlignment="1" pivotButton="0" quotePrefix="1" xfId="39">
      <alignment horizontal="center" readingOrder="2"/>
    </xf>
    <xf numFmtId="164" fontId="8" fillId="0" borderId="4" applyAlignment="1" pivotButton="0" quotePrefix="1" xfId="45">
      <alignment horizontal="right" vertical="center" readingOrder="2"/>
    </xf>
    <xf numFmtId="164" fontId="3" fillId="0" borderId="0" applyAlignment="1" pivotButton="0" quotePrefix="0" xfId="45">
      <alignment horizontal="right" vertical="center" readingOrder="2"/>
    </xf>
    <xf numFmtId="164" fontId="9" fillId="0" borderId="0" applyAlignment="1" pivotButton="0" quotePrefix="0" xfId="0">
      <alignment horizontal="right" vertical="center" readingOrder="2"/>
    </xf>
    <xf numFmtId="164" fontId="7" fillId="0" borderId="0" applyAlignment="1" pivotButton="0" quotePrefix="1" xfId="0">
      <alignment horizontal="centerContinuous" vertical="center" readingOrder="2"/>
    </xf>
    <xf numFmtId="164" fontId="6" fillId="0" borderId="6" applyAlignment="1" pivotButton="0" quotePrefix="1" xfId="0">
      <alignment horizontal="right" vertical="center" readingOrder="2"/>
    </xf>
    <xf numFmtId="167" fontId="18" fillId="0" borderId="0" applyAlignment="1" pivotButton="0" quotePrefix="1" xfId="39">
      <alignment readingOrder="2"/>
    </xf>
    <xf numFmtId="167" fontId="18" fillId="0" borderId="0" applyAlignment="1" pivotButton="0" quotePrefix="1" xfId="39">
      <alignment horizontal="centerContinuous" readingOrder="2"/>
    </xf>
    <xf numFmtId="164" fontId="18" fillId="0" borderId="0" applyAlignment="1" pivotButton="0" quotePrefix="0" xfId="0">
      <alignment horizontal="center" vertical="center" readingOrder="2"/>
    </xf>
    <xf numFmtId="164" fontId="7" fillId="0" borderId="0" applyAlignment="1" pivotButton="0" quotePrefix="0" xfId="0">
      <alignment horizontal="center" vertical="top" wrapText="1" readingOrder="2"/>
    </xf>
    <xf numFmtId="164" fontId="3" fillId="0" borderId="0" applyAlignment="1" pivotButton="0" quotePrefix="0" xfId="0">
      <alignment horizontal="center" vertical="top" wrapText="1" readingOrder="2"/>
    </xf>
    <xf numFmtId="169" fontId="10" fillId="4" borderId="0" applyAlignment="1" pivotButton="0" quotePrefix="0" xfId="32">
      <alignment horizontal="right" vertical="center" readingOrder="2"/>
    </xf>
    <xf numFmtId="168" fontId="0" fillId="0" borderId="0" applyAlignment="1" pivotButton="0" quotePrefix="0" xfId="0">
      <alignment horizontal="right" vertical="top" readingOrder="2"/>
    </xf>
    <xf numFmtId="164" fontId="13" fillId="0" borderId="0" applyAlignment="1" pivotButton="0" quotePrefix="0" xfId="0">
      <alignment horizontal="right" vertical="center" readingOrder="2"/>
    </xf>
    <xf numFmtId="164" fontId="28" fillId="0" borderId="0" applyAlignment="1" pivotButton="0" quotePrefix="0" xfId="0">
      <alignment horizontal="right" vertical="center" readingOrder="2"/>
    </xf>
    <xf numFmtId="164" fontId="28" fillId="0" borderId="0" applyAlignment="1" pivotButton="0" quotePrefix="0" xfId="0">
      <alignment horizontal="center" vertical="center" readingOrder="2"/>
    </xf>
    <xf numFmtId="164" fontId="30" fillId="0" borderId="0" applyAlignment="1" pivotButton="0" quotePrefix="0" xfId="46">
      <alignment horizontal="right" vertical="center" readingOrder="2"/>
    </xf>
    <xf numFmtId="164" fontId="9" fillId="0" borderId="0" applyAlignment="1" pivotButton="0" quotePrefix="0" xfId="0">
      <alignment horizontal="center" vertical="center" readingOrder="2"/>
    </xf>
    <xf numFmtId="164" fontId="3" fillId="0" borderId="0" applyAlignment="1" pivotButton="0" quotePrefix="0" xfId="0">
      <alignment horizontal="center" vertical="center" readingOrder="2"/>
    </xf>
    <xf numFmtId="164" fontId="30" fillId="0" borderId="0" applyAlignment="1" pivotButton="0" quotePrefix="0" xfId="0">
      <alignment horizontal="center" vertical="center" readingOrder="2"/>
    </xf>
    <xf numFmtId="168" fontId="0" fillId="0" borderId="0" applyAlignment="1" pivotButton="0" quotePrefix="0" xfId="0">
      <alignment horizontal="center" vertical="top" readingOrder="2"/>
    </xf>
    <xf numFmtId="168" fontId="6" fillId="0" borderId="0" applyAlignment="1" pivotButton="0" quotePrefix="0" xfId="0">
      <alignment horizontal="right" vertical="center" readingOrder="2"/>
    </xf>
    <xf numFmtId="168" fontId="7" fillId="0" borderId="0" applyAlignment="1" pivotButton="0" quotePrefix="0" xfId="0">
      <alignment horizontal="right" vertical="center" readingOrder="2"/>
    </xf>
    <xf numFmtId="164" fontId="0" fillId="4" borderId="0" applyAlignment="1" pivotButton="0" quotePrefix="0" xfId="0">
      <alignment horizontal="center" vertical="center" readingOrder="2"/>
    </xf>
  </cellXfs>
  <cellStyles count="57">
    <cellStyle name="Normal" xfId="0" builtinId="0"/>
    <cellStyle name=" מ&quot;ה" xfId="1"/>
    <cellStyle name=" רכב_מחזור מ&quot;ה" xfId="2"/>
    <cellStyle name="&quot;ה" xfId="3"/>
    <cellStyle name="*" xfId="4"/>
    <cellStyle name="*_Data" xfId="5"/>
    <cellStyle name="*_Data (2)" xfId="6"/>
    <cellStyle name="*_Index" xfId="7"/>
    <cellStyle name="*_גליון" xfId="8"/>
    <cellStyle name="*_דוח לרשם" xfId="9"/>
    <cellStyle name="*_דוחות" xfId="10"/>
    <cellStyle name="*_דוחות כספיים" xfId="11"/>
    <cellStyle name="*_לביקורת1" xfId="12"/>
    <cellStyle name="*_מה 97" xfId="13"/>
    <cellStyle name="*_מכתב" xfId="14"/>
    <cellStyle name="*_מכתב (2)" xfId="15"/>
    <cellStyle name="*_מתכונת" xfId="16"/>
    <cellStyle name="*_פ.נ" xfId="17"/>
    <cellStyle name="*_פרוט+הצהר" xfId="18"/>
    <cellStyle name="[1]" xfId="19"/>
    <cellStyle name="[2]" xfId="20"/>
    <cellStyle name="[3]" xfId="21"/>
    <cellStyle name="[4]" xfId="22"/>
    <cellStyle name="[5]" xfId="23"/>
    <cellStyle name="18" xfId="24"/>
    <cellStyle name="22" xfId="25"/>
    <cellStyle name="26" xfId="26"/>
    <cellStyle name="32" xfId="27"/>
    <cellStyle name="35" xfId="28"/>
    <cellStyle name="40" xfId="29"/>
    <cellStyle name="55" xfId="30"/>
    <cellStyle name="70" xfId="31"/>
    <cellStyle name="Comma" xfId="32" builtinId="3"/>
    <cellStyle name="Comma 2" xfId="33"/>
    <cellStyle name="Comma 3" xfId="34"/>
    <cellStyle name="Currency [0] _ רווה 97" xfId="35"/>
    <cellStyle name="Normal 2" xfId="36"/>
    <cellStyle name="Normal 3" xfId="37"/>
    <cellStyle name="Normal 4" xfId="38"/>
    <cellStyle name="Normal_גליון" xfId="39"/>
    <cellStyle name="Percent" xfId="40" builtinId="5"/>
    <cellStyle name="Spelling 1033,0" xfId="41"/>
    <cellStyle name="דני" xfId="42"/>
    <cellStyle name="וו&quot;ה 11-99 (2)" xfId="43"/>
    <cellStyle name="ח - נספח א" xfId="44"/>
    <cellStyle name="כותרת באור" xfId="45"/>
    <cellStyle name="כותרת דף" xfId="46"/>
    <cellStyle name="מאזן" xfId="47"/>
    <cellStyle name="מות" xfId="48"/>
    <cellStyle name="מירים" xfId="49"/>
    <cellStyle name="מירים כותרת" xfId="50"/>
    <cellStyle name="נמצאה שגיאה על-ידי Microsoft Excel בנוסחה שהזנת. האם ברצונך לקבל את התיקון המוצע למטה?_x000a__x000a_|_x000a__x000a_• כדי לקבל את התיקון, לחץ על כן._x000a_• כדי לסגור הודעה זו ולתקן את הנוסחה בעצמך, לחץ על לא." xfId="51"/>
    <cellStyle name="סגנון 1" xfId="52"/>
    <cellStyle name="סיכום ביניים" xfId="53"/>
    <cellStyle name="סיכום סופי" xfId="54"/>
    <cellStyle name="תאום  רכב" xfId="55"/>
    <cellStyle name="תאריך" xfId="5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M386"/>
  <sheetViews>
    <sheetView rightToLeft="1" workbookViewId="0">
      <selection activeCell="K28" sqref="K28"/>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מירון יתרות 2017</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285" t="n">
        <v>110</v>
      </c>
      <c r="B4" s="286" t="n">
        <v>1030</v>
      </c>
      <c r="C4" s="206" t="inlineStr">
        <is>
          <t>פקדון</t>
        </is>
      </c>
      <c r="D4" s="287" t="n">
        <v>702914.65</v>
      </c>
      <c r="E4" s="288" t="n"/>
      <c r="F4" s="284" t="n"/>
      <c r="G4" s="284">
        <f>D4-E4+F4</f>
        <v/>
      </c>
      <c r="H4" s="284" t="n"/>
    </row>
    <row r="5">
      <c r="A5" s="285" t="n">
        <v>110</v>
      </c>
      <c r="B5" s="286" t="n">
        <v>1100</v>
      </c>
      <c r="C5" s="206" t="inlineStr">
        <is>
          <t>בנק הפועלים בע"מ</t>
        </is>
      </c>
      <c r="D5" s="287" t="n">
        <v>330212.88</v>
      </c>
      <c r="E5" s="288" t="n"/>
      <c r="F5" s="289" t="n"/>
      <c r="G5" s="284">
        <f>D5-E5+F5</f>
        <v/>
      </c>
      <c r="H5" s="284" t="n"/>
    </row>
    <row r="6">
      <c r="A6" s="290" t="n"/>
      <c r="B6" s="291" t="n"/>
      <c r="C6" s="292" t="n"/>
      <c r="D6" s="293" t="n"/>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96" t="n"/>
      <c r="G8" s="284">
        <f>D8-E8+F8</f>
        <v/>
      </c>
      <c r="H8" s="284" t="n"/>
    </row>
    <row r="9">
      <c r="A9" s="285" t="n">
        <v>110</v>
      </c>
      <c r="B9" s="286" t="n">
        <v>1150</v>
      </c>
      <c r="C9" s="206" t="inlineStr">
        <is>
          <t>שקים לפרעון</t>
        </is>
      </c>
      <c r="D9" s="208" t="n"/>
      <c r="E9" s="297" t="n">
        <v>300</v>
      </c>
      <c r="F9" s="298" t="n"/>
      <c r="G9" s="284">
        <f>D9-E9+F9</f>
        <v/>
      </c>
      <c r="H9" s="284" t="n"/>
    </row>
    <row r="10">
      <c r="A10" s="294" t="n"/>
      <c r="B10" s="294" t="n"/>
      <c r="C10" s="295" t="n"/>
      <c r="D10" s="160" t="n"/>
      <c r="E10" s="294" t="n"/>
      <c r="F10" s="298" t="n"/>
      <c r="G10" s="284">
        <f>D10-E10+F10</f>
        <v/>
      </c>
      <c r="H10" s="284" t="n"/>
      <c r="M10" s="298" t="n">
        <v>1838445</v>
      </c>
    </row>
    <row r="11">
      <c r="A11" s="294" t="n"/>
      <c r="B11" s="294" t="n"/>
      <c r="C11" s="140" t="inlineStr">
        <is>
          <t>לקוחות</t>
        </is>
      </c>
      <c r="D11" s="294" t="n"/>
      <c r="E11" s="160" t="n"/>
      <c r="F11" s="289" t="n"/>
      <c r="G11" s="284">
        <f>D11-E11+F11</f>
        <v/>
      </c>
      <c r="H11" s="284" t="n"/>
    </row>
    <row r="12">
      <c r="A12" s="285" t="n">
        <v>200</v>
      </c>
      <c r="B12" s="286" t="n">
        <v>2040</v>
      </c>
      <c r="C12" s="206" t="inlineStr">
        <is>
          <t>חברת החשמל לישראל בע"מ</t>
        </is>
      </c>
      <c r="D12" s="299" t="n">
        <v>48444</v>
      </c>
      <c r="E12" s="300" t="n"/>
      <c r="F12" s="289" t="n"/>
      <c r="G12" s="284">
        <f>D12-E12+F12</f>
        <v/>
      </c>
      <c r="H12" s="284" t="n"/>
      <c r="M12" s="298" t="n">
        <v>6500</v>
      </c>
    </row>
    <row r="13">
      <c r="A13" s="285" t="n">
        <v>200</v>
      </c>
      <c r="B13" s="286" t="n">
        <v>2050</v>
      </c>
      <c r="C13" s="206" t="inlineStr">
        <is>
          <t>הרקוליס את סנפיר בע"מ</t>
        </is>
      </c>
      <c r="D13" s="299" t="n">
        <v>24748</v>
      </c>
      <c r="E13" s="300" t="n"/>
      <c r="F13" s="289" t="n"/>
      <c r="G13" s="284">
        <f>D13-E13+F13</f>
        <v/>
      </c>
      <c r="H13" s="284" t="n"/>
    </row>
    <row r="14">
      <c r="A14" s="285" t="n">
        <v>200</v>
      </c>
      <c r="B14" s="286" t="n">
        <v>2080</v>
      </c>
      <c r="C14" s="206" t="inlineStr">
        <is>
          <t>החברה הלאומית לאספקת פחם בע"מ</t>
        </is>
      </c>
      <c r="D14" s="301" t="n">
        <v>7020</v>
      </c>
      <c r="E14" s="294" t="n"/>
      <c r="F14" s="289" t="n"/>
      <c r="G14" s="284">
        <f>D14-E14+F14</f>
        <v/>
      </c>
      <c r="H14" s="284" t="n"/>
      <c r="M14" s="298" t="n">
        <v>-1283188</v>
      </c>
    </row>
    <row r="15">
      <c r="A15" s="300" t="n"/>
      <c r="B15" s="300" t="n"/>
      <c r="C15" s="302" t="n"/>
      <c r="D15" s="170" t="n"/>
      <c r="E15" s="300" t="n"/>
      <c r="F15" s="289" t="n"/>
      <c r="G15" s="284">
        <f>D15-E15+F15</f>
        <v/>
      </c>
      <c r="H15" s="284">
        <f>SUM(G12:G15)</f>
        <v/>
      </c>
      <c r="M15" s="298">
        <f>SUM(M10:M14)</f>
        <v/>
      </c>
    </row>
    <row r="16">
      <c r="A16" s="294" t="n"/>
      <c r="B16" s="294" t="n"/>
      <c r="C16" s="140" t="inlineStr">
        <is>
          <t>פקיד שומה</t>
        </is>
      </c>
      <c r="D16" s="294" t="n"/>
      <c r="E16" s="294" t="n"/>
      <c r="F16" s="289" t="n"/>
      <c r="G16" s="284">
        <f>D16-E16+F16</f>
        <v/>
      </c>
      <c r="H16" s="284" t="n"/>
    </row>
    <row r="17">
      <c r="A17" s="285" t="n">
        <v>270</v>
      </c>
      <c r="B17" s="286" t="n">
        <v>2700</v>
      </c>
      <c r="C17" s="206" t="inlineStr">
        <is>
          <t>נכוי במקור - לקוחות</t>
        </is>
      </c>
      <c r="D17" s="299" t="n">
        <v>54719.3</v>
      </c>
      <c r="E17" s="294" t="n"/>
      <c r="F17" s="289" t="n"/>
      <c r="G17" s="284">
        <f>D17-E17+F17</f>
        <v/>
      </c>
      <c r="H17" s="284" t="n"/>
    </row>
    <row r="18">
      <c r="A18" s="285" t="n">
        <v>270</v>
      </c>
      <c r="B18" s="286" t="n">
        <v>2744</v>
      </c>
      <c r="C18" s="206" t="inlineStr">
        <is>
          <t>מס הכנסה שנים קודמות</t>
        </is>
      </c>
      <c r="D18" s="297" t="n">
        <v>460.43</v>
      </c>
      <c r="E18" s="294" t="n"/>
      <c r="F18" s="289" t="n"/>
      <c r="G18" s="284">
        <f>D18-E18+F18</f>
        <v/>
      </c>
      <c r="H18" s="284" t="n"/>
    </row>
    <row r="19">
      <c r="A19" s="285" t="n">
        <v>270</v>
      </c>
      <c r="B19" s="286" t="n">
        <v>2745</v>
      </c>
      <c r="C19" s="206" t="inlineStr">
        <is>
          <t>מס הכנסה מקדמות</t>
        </is>
      </c>
      <c r="D19" s="301" t="n">
        <v>7988</v>
      </c>
      <c r="E19" s="294" t="n"/>
      <c r="F19" s="289" t="n"/>
      <c r="G19" s="284">
        <f>D19-E19+F19</f>
        <v/>
      </c>
      <c r="H19" s="284" t="n"/>
    </row>
    <row r="20" ht="17" customHeight="1" s="282" thickBot="1">
      <c r="A20" s="300" t="n"/>
      <c r="B20" s="300" t="n"/>
      <c r="C20" s="302" t="n"/>
      <c r="D20" s="300" t="n"/>
      <c r="E20" s="170" t="n"/>
      <c r="F20" s="289" t="n"/>
      <c r="G20" s="284">
        <f>D20-E20+F20</f>
        <v/>
      </c>
      <c r="H20" s="284">
        <f>SUM(G17:G20)</f>
        <v/>
      </c>
    </row>
    <row r="21">
      <c r="A21" s="294" t="n"/>
      <c r="B21" s="294" t="n"/>
      <c r="C21" s="140" t="inlineStr">
        <is>
          <t>רכוש קבוע</t>
        </is>
      </c>
      <c r="D21" s="294" t="n"/>
      <c r="E21" s="160" t="n"/>
      <c r="F21" s="289" t="n"/>
      <c r="G21" s="284">
        <f>D21-E21+F21</f>
        <v/>
      </c>
      <c r="H21" s="284" t="n"/>
      <c r="M21" s="303" t="inlineStr">
        <is>
          <t>מלאי</t>
        </is>
      </c>
    </row>
    <row r="22">
      <c r="A22" s="290" t="n"/>
      <c r="B22" s="291" t="n"/>
      <c r="C22" s="292" t="n"/>
      <c r="D22" s="293" t="n"/>
      <c r="E22" s="304" t="n"/>
      <c r="F22" s="289" t="n"/>
      <c r="G22" s="284">
        <f>D22-E22+F22</f>
        <v/>
      </c>
      <c r="H22" s="284" t="n"/>
      <c r="M22" s="305" t="n">
        <v>29924</v>
      </c>
    </row>
    <row r="23">
      <c r="A23" s="285" t="n">
        <v>280</v>
      </c>
      <c r="B23" s="286" t="n">
        <v>2800</v>
      </c>
      <c r="C23" s="206" t="inlineStr">
        <is>
          <t>רכוש קבוע</t>
        </is>
      </c>
      <c r="D23" s="287" t="n">
        <v>181086.98</v>
      </c>
      <c r="E23" s="208" t="n"/>
      <c r="F23" s="289" t="n"/>
      <c r="G23" s="284">
        <f>D23-E23+F23</f>
        <v/>
      </c>
      <c r="H23" s="284">
        <f>SUM(G22:G23)</f>
        <v/>
      </c>
      <c r="M23" s="305" t="n"/>
    </row>
    <row r="24" ht="17" customHeight="1" s="282" thickBot="1">
      <c r="A24" s="285" t="n">
        <v>280</v>
      </c>
      <c r="B24" s="286" t="n">
        <v>2850</v>
      </c>
      <c r="C24" s="206" t="inlineStr">
        <is>
          <t>פחת נצבר</t>
        </is>
      </c>
      <c r="D24" s="208" t="n"/>
      <c r="E24" s="299" t="n">
        <v>99144</v>
      </c>
      <c r="F24" s="289" t="n">
        <v>-17722</v>
      </c>
      <c r="G24" s="284">
        <f>D24-E24+F24</f>
        <v/>
      </c>
      <c r="H24" s="284">
        <f>SUM(G24)</f>
        <v/>
      </c>
      <c r="M24" s="306" t="n">
        <v>36943</v>
      </c>
    </row>
    <row r="25">
      <c r="A25" s="294" t="n"/>
      <c r="B25" s="294" t="n"/>
      <c r="C25" s="295" t="n"/>
      <c r="D25" s="294" t="n"/>
      <c r="E25" s="160" t="n"/>
      <c r="F25" s="289" t="n"/>
      <c r="G25" s="284">
        <f>D25-E25+F25</f>
        <v/>
      </c>
      <c r="H25" s="284" t="n"/>
      <c r="M25" s="298">
        <f>SUM(M22:M24)</f>
        <v/>
      </c>
    </row>
    <row r="26">
      <c r="A26" s="294" t="n"/>
      <c r="B26" s="294" t="n"/>
      <c r="C26" s="295" t="n"/>
      <c r="D26" s="294" t="n"/>
      <c r="E26" s="160" t="n"/>
      <c r="F26" s="289" t="n"/>
      <c r="G26" s="284">
        <f>D26-E26+F26</f>
        <v/>
      </c>
      <c r="H26" s="284" t="n"/>
    </row>
    <row r="27">
      <c r="A27" s="294" t="n">
        <v>290</v>
      </c>
      <c r="B27" s="294" t="n">
        <v>2901</v>
      </c>
      <c r="C27" s="294" t="inlineStr">
        <is>
          <t>מלאי עבודות בביצוע מאזן</t>
        </is>
      </c>
      <c r="D27" s="294" t="n"/>
      <c r="E27" s="160" t="n"/>
      <c r="F27" s="289" t="n">
        <v>17650</v>
      </c>
      <c r="G27" s="284">
        <f>D27-E27+F27</f>
        <v/>
      </c>
      <c r="H27" s="284" t="n"/>
    </row>
    <row r="28">
      <c r="A28" s="294" t="n"/>
      <c r="B28" s="294" t="n"/>
      <c r="C28" s="140" t="inlineStr">
        <is>
          <t>ספקים</t>
        </is>
      </c>
      <c r="D28" s="294" t="n"/>
      <c r="E28" s="160" t="n"/>
      <c r="F28" s="289" t="n"/>
      <c r="G28" s="284">
        <f>D28-E28+F28</f>
        <v/>
      </c>
      <c r="H28" s="284" t="n"/>
    </row>
    <row r="29">
      <c r="A29" s="285" t="n">
        <v>300</v>
      </c>
      <c r="B29" s="286" t="n">
        <v>3080</v>
      </c>
      <c r="C29" s="206" t="inlineStr">
        <is>
          <t>סופרדיל לבנין ולבית</t>
        </is>
      </c>
      <c r="D29" s="208" t="n"/>
      <c r="E29" s="297" t="n">
        <v>527.2</v>
      </c>
      <c r="F29" s="289" t="n"/>
      <c r="G29" s="284">
        <f>D29-E29+F29</f>
        <v/>
      </c>
      <c r="H29" s="284" t="n"/>
    </row>
    <row r="30">
      <c r="A30" s="285" t="n">
        <v>300</v>
      </c>
      <c r="B30" s="286" t="n">
        <v>3241</v>
      </c>
      <c r="C30" s="206" t="inlineStr">
        <is>
          <t>אורלי - משאבי אנרגיה בע"מ</t>
        </is>
      </c>
      <c r="D30" s="208" t="n"/>
      <c r="E30" s="301" t="n">
        <v>1602</v>
      </c>
      <c r="F30" s="289" t="n"/>
      <c r="G30" s="284">
        <f>D30-E30+F30</f>
        <v/>
      </c>
      <c r="H30" s="284" t="n"/>
    </row>
    <row r="31">
      <c r="A31" s="307" t="n">
        <v>300</v>
      </c>
      <c r="B31" s="308" t="n">
        <v>3241</v>
      </c>
      <c r="C31" s="309" t="inlineStr">
        <is>
          <t>אורלי - משאבי אנרגיה בע"מ</t>
        </is>
      </c>
      <c r="D31" s="288" t="n"/>
      <c r="E31" s="310" t="n"/>
      <c r="F31" s="289" t="n"/>
      <c r="G31" s="284">
        <f>D31-E31+F31</f>
        <v/>
      </c>
      <c r="H31" s="284" t="n"/>
    </row>
    <row r="32">
      <c r="A32" s="307" t="n">
        <v>350</v>
      </c>
      <c r="B32" s="308" t="n">
        <v>3510</v>
      </c>
      <c r="C32" s="309" t="inlineStr">
        <is>
          <t>איילון חברה לביטוח</t>
        </is>
      </c>
      <c r="D32" s="310" t="n"/>
      <c r="E32" s="288" t="n"/>
      <c r="F32" s="289" t="n"/>
      <c r="G32" s="284">
        <f>D32-E32+F32</f>
        <v/>
      </c>
      <c r="H32" s="284" t="n"/>
    </row>
    <row r="33">
      <c r="A33" s="307" t="n">
        <v>350</v>
      </c>
      <c r="B33" s="308" t="n">
        <v>3515</v>
      </c>
      <c r="C33" s="309" t="inlineStr">
        <is>
          <t>מגדל חברה לביטוח</t>
        </is>
      </c>
      <c r="D33" s="310" t="n"/>
      <c r="E33" s="288" t="n"/>
      <c r="F33" s="289" t="n"/>
      <c r="G33" s="284">
        <f>D33-E33+F33</f>
        <v/>
      </c>
      <c r="H33" s="284">
        <f>SUM(G29:G33)</f>
        <v/>
      </c>
    </row>
    <row r="34">
      <c r="A34" s="294" t="n"/>
      <c r="B34" s="294" t="n"/>
      <c r="C34" s="294" t="n"/>
      <c r="D34" s="294" t="n"/>
      <c r="E34" s="294" t="n"/>
      <c r="F34" s="289" t="n"/>
      <c r="G34" s="284">
        <f>D34-E34+F34</f>
        <v/>
      </c>
      <c r="H34" s="284" t="n"/>
    </row>
    <row r="35">
      <c r="A35" s="294" t="n"/>
      <c r="B35" s="294" t="n"/>
      <c r="C35" s="294" t="inlineStr">
        <is>
          <t>הוצאות מראש</t>
        </is>
      </c>
      <c r="D35" s="294" t="n"/>
      <c r="E35" s="294" t="n"/>
      <c r="F35" s="289" t="n"/>
      <c r="G35" s="284">
        <f>D35-E35+F35</f>
        <v/>
      </c>
      <c r="H35" s="284" t="n"/>
    </row>
    <row r="36">
      <c r="A36" s="294" t="n"/>
      <c r="B36" s="294" t="n"/>
      <c r="C36" s="294" t="n"/>
      <c r="D36" s="294" t="n"/>
      <c r="E36" s="294" t="n"/>
      <c r="F36" s="289" t="n"/>
      <c r="G36" s="284">
        <f>D36-E36+F36</f>
        <v/>
      </c>
      <c r="H36" s="284" t="n"/>
    </row>
    <row r="37">
      <c r="A37" s="285" t="n">
        <v>750</v>
      </c>
      <c r="B37" s="286" t="n">
        <v>7550</v>
      </c>
      <c r="C37" s="206" t="inlineStr">
        <is>
          <t>הוצאות לשלם</t>
        </is>
      </c>
      <c r="D37" s="208" t="n"/>
      <c r="E37" s="301" t="n">
        <v>6500</v>
      </c>
      <c r="F37" s="289" t="n">
        <v>6500</v>
      </c>
      <c r="G37" s="284">
        <f>D37-E37+F37</f>
        <v/>
      </c>
      <c r="H37" s="284" t="n"/>
    </row>
    <row r="38">
      <c r="A38" s="294" t="n"/>
      <c r="B38" s="294" t="n"/>
      <c r="C38" s="294" t="n"/>
      <c r="D38" s="294" t="n"/>
      <c r="E38" s="294" t="n"/>
      <c r="F38" s="289" t="n"/>
      <c r="G38" s="284">
        <f>D38-E38+F38</f>
        <v/>
      </c>
      <c r="H38" s="284" t="n"/>
    </row>
    <row r="39">
      <c r="A39" s="294" t="n"/>
      <c r="B39" s="294" t="n"/>
      <c r="C39" s="294" t="n"/>
      <c r="D39" s="294" t="n"/>
      <c r="E39" s="294" t="n"/>
      <c r="F39" s="289" t="n"/>
      <c r="G39" s="284">
        <f>D39-E39+F39</f>
        <v/>
      </c>
      <c r="H39" s="284" t="n"/>
    </row>
    <row r="40">
      <c r="A40" s="285" t="n">
        <v>360</v>
      </c>
      <c r="B40" s="286" t="n">
        <v>3600</v>
      </c>
      <c r="C40" s="206" t="inlineStr">
        <is>
          <t>מס הכנסה ניכויים</t>
        </is>
      </c>
      <c r="D40" s="208" t="n"/>
      <c r="E40" s="301" t="n">
        <v>3735</v>
      </c>
      <c r="F40" s="289" t="n"/>
      <c r="G40" s="284">
        <f>D40-E40+F40</f>
        <v/>
      </c>
      <c r="H40" s="284" t="n"/>
    </row>
    <row r="41">
      <c r="A41" s="285" t="n">
        <v>360</v>
      </c>
      <c r="B41" s="286" t="n">
        <v>3610</v>
      </c>
      <c r="C41" s="206" t="inlineStr">
        <is>
          <t>ביטוח לאומי ניכויים</t>
        </is>
      </c>
      <c r="D41" s="208" t="n"/>
      <c r="E41" s="301" t="n">
        <v>5097</v>
      </c>
      <c r="F41" s="289" t="n"/>
      <c r="G41" s="284">
        <f>D41-E41+F41</f>
        <v/>
      </c>
      <c r="H41" s="284" t="n"/>
    </row>
    <row r="42">
      <c r="A42" s="285" t="n">
        <v>351</v>
      </c>
      <c r="B42" s="286" t="n">
        <v>3640</v>
      </c>
      <c r="C42" s="206" t="inlineStr">
        <is>
          <t>הפניקס קרן פנסיה</t>
        </is>
      </c>
      <c r="D42" s="208" t="n"/>
      <c r="E42" s="301" t="n">
        <v>1698</v>
      </c>
      <c r="F42" s="289" t="n"/>
      <c r="G42" s="284">
        <f>D42-E42+F42</f>
        <v/>
      </c>
      <c r="H42" s="284" t="n"/>
    </row>
    <row r="43">
      <c r="A43" s="285" t="n">
        <v>370</v>
      </c>
      <c r="B43" s="286" t="n">
        <v>3702</v>
      </c>
      <c r="C43" s="206" t="inlineStr">
        <is>
          <t>ראובן גבי</t>
        </is>
      </c>
      <c r="D43" s="208" t="n"/>
      <c r="E43" s="301" t="n">
        <v>5350</v>
      </c>
      <c r="F43" s="289" t="n"/>
      <c r="G43" s="284">
        <f>D43-E43+F43</f>
        <v/>
      </c>
      <c r="H43" s="284" t="n"/>
    </row>
    <row r="44">
      <c r="A44" s="285" t="n">
        <v>370</v>
      </c>
      <c r="B44" s="286" t="n">
        <v>3705</v>
      </c>
      <c r="C44" s="206" t="inlineStr">
        <is>
          <t>אבולפיה שמואל</t>
        </is>
      </c>
      <c r="D44" s="208" t="n"/>
      <c r="E44" s="301" t="n">
        <v>7623</v>
      </c>
      <c r="F44" s="289" t="n"/>
      <c r="G44" s="284">
        <f>D44-E44+F44</f>
        <v/>
      </c>
      <c r="H44" s="284" t="n"/>
    </row>
    <row r="45">
      <c r="A45" s="285" t="n">
        <v>370</v>
      </c>
      <c r="B45" s="286" t="n">
        <v>3707</v>
      </c>
      <c r="C45" s="206" t="inlineStr">
        <is>
          <t>ראובן לוסי</t>
        </is>
      </c>
      <c r="D45" s="208" t="n"/>
      <c r="E45" s="297" t="n">
        <v>300</v>
      </c>
      <c r="F45" s="289" t="n"/>
      <c r="G45" s="284">
        <f>D45-E45+F45</f>
        <v/>
      </c>
      <c r="H45" s="284" t="n"/>
    </row>
    <row r="46">
      <c r="A46" s="285" t="n">
        <v>370</v>
      </c>
      <c r="B46" s="286" t="n">
        <v>3713</v>
      </c>
      <c r="C46" s="206" t="inlineStr">
        <is>
          <t>לבן אליהו</t>
        </is>
      </c>
      <c r="D46" s="208" t="n"/>
      <c r="E46" s="301" t="n">
        <v>7147</v>
      </c>
      <c r="F46" s="289" t="n"/>
      <c r="G46" s="284">
        <f>D46-E46+F46</f>
        <v/>
      </c>
      <c r="H46" s="284" t="n"/>
    </row>
    <row r="47">
      <c r="A47" s="285" t="n">
        <v>370</v>
      </c>
      <c r="B47" s="286" t="n">
        <v>3717</v>
      </c>
      <c r="C47" s="206" t="inlineStr">
        <is>
          <t>מוריוסף אשר</t>
        </is>
      </c>
      <c r="D47" s="208" t="n"/>
      <c r="E47" s="301" t="n">
        <v>7149</v>
      </c>
      <c r="F47" s="289" t="n"/>
      <c r="G47" s="284">
        <f>D47-E47+F47</f>
        <v/>
      </c>
      <c r="H47" s="284" t="n"/>
    </row>
    <row r="48">
      <c r="A48" s="285" t="n">
        <v>370</v>
      </c>
      <c r="B48" s="286" t="n">
        <v>3731</v>
      </c>
      <c r="C48" s="206" t="inlineStr">
        <is>
          <t>ראובן רחמים</t>
        </is>
      </c>
      <c r="D48" s="208" t="n"/>
      <c r="E48" s="301" t="n">
        <v>9455</v>
      </c>
      <c r="F48" s="289" t="n"/>
      <c r="G48" s="284">
        <f>D48-E48+F48</f>
        <v/>
      </c>
      <c r="H48" s="284" t="n"/>
    </row>
    <row r="49">
      <c r="A49" s="285" t="n">
        <v>370</v>
      </c>
      <c r="B49" s="286" t="n">
        <v>3733</v>
      </c>
      <c r="C49" s="206" t="inlineStr">
        <is>
          <t>אלעד ראובן</t>
        </is>
      </c>
      <c r="D49" s="208" t="n"/>
      <c r="E49" s="301" t="n">
        <v>5354</v>
      </c>
      <c r="F49" s="289" t="n"/>
      <c r="G49" s="284">
        <f>D49-E49+F49</f>
        <v/>
      </c>
      <c r="H49" s="284" t="n"/>
    </row>
    <row r="50">
      <c r="A50" s="307" t="n">
        <v>370</v>
      </c>
      <c r="B50" s="308" t="n">
        <v>3731</v>
      </c>
      <c r="C50" s="309" t="inlineStr">
        <is>
          <t>ראובן רחמים</t>
        </is>
      </c>
      <c r="D50" s="288" t="n"/>
      <c r="E50" s="310" t="n"/>
      <c r="F50" s="289" t="n"/>
      <c r="G50" s="284">
        <f>D50-E50+F50</f>
        <v/>
      </c>
      <c r="H50" s="284">
        <f>SUM(G40:G50)</f>
        <v/>
      </c>
    </row>
    <row r="51">
      <c r="A51" s="294" t="n"/>
      <c r="B51" s="294" t="n"/>
      <c r="C51" s="140" t="inlineStr">
        <is>
          <t>אגף המכס והבלו</t>
        </is>
      </c>
      <c r="D51" s="294" t="n"/>
      <c r="E51" s="160" t="n"/>
      <c r="F51" s="289" t="n"/>
      <c r="G51" s="284">
        <f>D51-E51+F51</f>
        <v/>
      </c>
      <c r="H51" s="284" t="n"/>
    </row>
    <row r="52">
      <c r="A52" s="285" t="n">
        <v>500</v>
      </c>
      <c r="B52" s="286" t="n">
        <v>5000</v>
      </c>
      <c r="C52" s="206" t="inlineStr">
        <is>
          <t>מעמ תשומות</t>
        </is>
      </c>
      <c r="D52" s="212" t="n">
        <v>9.880000000000001</v>
      </c>
      <c r="E52" s="208" t="n"/>
      <c r="F52" s="289" t="n"/>
      <c r="G52" s="284">
        <f>D52-E52+F52</f>
        <v/>
      </c>
      <c r="H52" s="284" t="n"/>
    </row>
    <row r="53">
      <c r="A53" s="285" t="n">
        <v>500</v>
      </c>
      <c r="B53" s="286" t="n">
        <v>5040</v>
      </c>
      <c r="C53" s="206" t="inlineStr">
        <is>
          <t>חוז מעמ</t>
        </is>
      </c>
      <c r="D53" s="208" t="n"/>
      <c r="E53" s="299" t="n">
        <v>19610.06</v>
      </c>
      <c r="F53" s="289" t="n"/>
      <c r="G53" s="284">
        <f>D53-E53+F53</f>
        <v/>
      </c>
      <c r="H53" s="284" t="n"/>
    </row>
    <row r="54">
      <c r="A54" s="290" t="n"/>
      <c r="B54" s="291" t="n"/>
      <c r="C54" s="292" t="n"/>
      <c r="D54" s="304" t="n"/>
      <c r="E54" s="311" t="n"/>
      <c r="F54" s="289" t="n"/>
      <c r="G54" s="284">
        <f>D54-E54+F54</f>
        <v/>
      </c>
      <c r="H54" s="284">
        <f>SUM(G52:G54)</f>
        <v/>
      </c>
    </row>
    <row r="55">
      <c r="A55" s="294" t="n"/>
      <c r="B55" s="294" t="n"/>
      <c r="C55" s="295" t="n"/>
      <c r="D55" s="294" t="n"/>
      <c r="E55" s="160" t="n"/>
      <c r="F55" s="289" t="n"/>
      <c r="G55" s="284">
        <f>D55-E55+F55</f>
        <v/>
      </c>
      <c r="H55" s="284" t="n"/>
    </row>
    <row r="56">
      <c r="A56" s="285" t="n">
        <v>510</v>
      </c>
      <c r="B56" s="286" t="n">
        <v>5100</v>
      </c>
      <c r="C56" s="206" t="inlineStr">
        <is>
          <t>ראובן מירון</t>
        </is>
      </c>
      <c r="D56" s="208" t="n"/>
      <c r="E56" s="301" t="n">
        <v>3438.19</v>
      </c>
      <c r="F56" s="289" t="n"/>
      <c r="G56" s="284">
        <f>D56-E56+F56</f>
        <v/>
      </c>
      <c r="H56" s="284" t="n"/>
    </row>
    <row r="57">
      <c r="A57" s="294" t="n"/>
      <c r="B57" s="294" t="n"/>
      <c r="C57" s="295" t="n"/>
      <c r="D57" s="294" t="n"/>
      <c r="E57" s="160" t="n"/>
      <c r="F57" s="289" t="n"/>
      <c r="G57" s="284">
        <f>D57-E57+F57</f>
        <v/>
      </c>
      <c r="H57" s="284" t="n"/>
    </row>
    <row r="58">
      <c r="A58" s="312" t="n">
        <v>400</v>
      </c>
      <c r="B58" s="313" t="n">
        <v>4000</v>
      </c>
      <c r="C58" s="314" t="inlineStr">
        <is>
          <t>הון מניות</t>
        </is>
      </c>
      <c r="D58" s="315" t="n"/>
      <c r="E58" s="316" t="n">
        <v>100</v>
      </c>
      <c r="F58" s="289" t="n"/>
      <c r="G58" s="284">
        <f>D58-E58+F58</f>
        <v/>
      </c>
      <c r="H58" s="284" t="n"/>
    </row>
    <row r="59">
      <c r="A59" s="285" t="n">
        <v>450</v>
      </c>
      <c r="B59" s="286" t="n">
        <v>4500</v>
      </c>
      <c r="C59" s="206" t="inlineStr">
        <is>
          <t>חשבון רווח/הפסד</t>
        </is>
      </c>
      <c r="D59" s="208" t="n"/>
      <c r="E59" s="287" t="n">
        <v>998879.6</v>
      </c>
      <c r="F59" s="289" t="n"/>
      <c r="G59" s="284">
        <f>D59-E59+F59</f>
        <v/>
      </c>
      <c r="H59" s="284" t="n"/>
    </row>
    <row r="60">
      <c r="A60" s="317" t="n"/>
      <c r="B60" s="317" t="n"/>
      <c r="C60" s="317" t="n"/>
      <c r="D60" s="317" t="n"/>
      <c r="E60" s="317" t="n"/>
      <c r="F60" s="317" t="n"/>
      <c r="G60" s="284">
        <f>D60-E60+F60</f>
        <v/>
      </c>
      <c r="H60" s="284" t="n"/>
    </row>
    <row r="61">
      <c r="A61" s="317" t="n"/>
      <c r="B61" s="317" t="n"/>
      <c r="C61" s="317" t="n"/>
      <c r="D61" s="317" t="n"/>
      <c r="E61" s="317" t="n"/>
      <c r="F61" s="317" t="n"/>
      <c r="G61" s="284">
        <f>D61-E61+F61</f>
        <v/>
      </c>
      <c r="H61" s="284" t="n"/>
    </row>
    <row r="62">
      <c r="A62" s="317" t="n"/>
      <c r="B62" s="317" t="n"/>
      <c r="C62" s="317" t="n"/>
      <c r="D62" s="317" t="n"/>
      <c r="E62" s="317" t="n"/>
      <c r="F62" s="317" t="n"/>
      <c r="G62" s="284">
        <f>D62-E62+F62</f>
        <v/>
      </c>
      <c r="H62" s="284" t="n"/>
    </row>
    <row r="63">
      <c r="A63" s="285" t="n">
        <v>600</v>
      </c>
      <c r="B63" s="286" t="n">
        <v>6000</v>
      </c>
      <c r="C63" s="206" t="inlineStr">
        <is>
          <t>הכנסות</t>
        </is>
      </c>
      <c r="D63" s="208" t="n"/>
      <c r="E63" s="287" t="n">
        <v>914945.3</v>
      </c>
      <c r="F63" s="289" t="n"/>
      <c r="G63" s="284">
        <f>D63-E63+F63</f>
        <v/>
      </c>
      <c r="H63" s="284" t="n"/>
    </row>
    <row r="64">
      <c r="A64" s="290" t="n"/>
      <c r="B64" s="291" t="n"/>
      <c r="C64" s="292" t="n"/>
      <c r="D64" s="304" t="n"/>
      <c r="E64" s="318" t="n"/>
      <c r="F64" s="289" t="n"/>
      <c r="G64" s="284">
        <f>D64-E64+F64</f>
        <v/>
      </c>
      <c r="H64" s="284">
        <f>SUM(G63:G64)</f>
        <v/>
      </c>
    </row>
    <row r="65" customFormat="1" s="298">
      <c r="A65" s="290" t="n"/>
      <c r="B65" s="291" t="n"/>
      <c r="C65" s="292" t="n"/>
      <c r="D65" s="304" t="n"/>
      <c r="E65" s="318" t="n"/>
      <c r="F65" s="289" t="n"/>
      <c r="G65" s="284" t="n"/>
      <c r="H65" s="284" t="n"/>
    </row>
    <row r="66">
      <c r="A66" s="285" t="n">
        <v>650</v>
      </c>
      <c r="B66" s="286" t="n">
        <v>6500</v>
      </c>
      <c r="C66" s="206" t="inlineStr">
        <is>
          <t>קניות</t>
        </is>
      </c>
      <c r="D66" s="299" t="n">
        <v>55338.66</v>
      </c>
      <c r="E66" s="294" t="n"/>
      <c r="F66" s="289" t="n"/>
      <c r="G66" s="284">
        <f>D66-E66+F66</f>
        <v/>
      </c>
      <c r="H66" s="284" t="n"/>
    </row>
    <row r="67">
      <c r="A67" s="307" t="n">
        <v>660</v>
      </c>
      <c r="B67" s="308" t="n">
        <v>6600</v>
      </c>
      <c r="C67" s="309" t="inlineStr">
        <is>
          <t>קבלני משנה</t>
        </is>
      </c>
      <c r="D67" s="319" t="n"/>
      <c r="E67" s="294" t="n"/>
      <c r="F67" s="289" t="n"/>
      <c r="G67" s="284">
        <f>D67-E67+F67</f>
        <v/>
      </c>
      <c r="H67" s="284" t="n"/>
    </row>
    <row r="68">
      <c r="A68" s="307" t="n">
        <v>660</v>
      </c>
      <c r="B68" s="308" t="n">
        <v>6605</v>
      </c>
      <c r="C68" s="309" t="inlineStr">
        <is>
          <t>פינוי פסולת</t>
        </is>
      </c>
      <c r="D68" s="310" t="n"/>
      <c r="E68" s="294" t="n"/>
      <c r="F68" s="289" t="n"/>
      <c r="G68" s="284">
        <f>D68-E68+F68</f>
        <v/>
      </c>
      <c r="H68" s="284" t="n"/>
    </row>
    <row r="69">
      <c r="A69" s="285" t="n">
        <v>730</v>
      </c>
      <c r="B69" s="286" t="n">
        <v>7301</v>
      </c>
      <c r="C69" s="206" t="inlineStr">
        <is>
          <t>כלי עבודה</t>
        </is>
      </c>
      <c r="D69" s="301" t="n">
        <v>2805.99</v>
      </c>
      <c r="E69" s="294" t="n"/>
      <c r="F69" s="289" t="n"/>
      <c r="G69" s="284">
        <f>D69-E69+F69</f>
        <v/>
      </c>
      <c r="H69" s="284">
        <f>SUM(G66:G69)</f>
        <v/>
      </c>
    </row>
    <row r="70">
      <c r="A70" s="300" t="n"/>
      <c r="B70" s="300" t="n"/>
      <c r="C70" s="302" t="n"/>
      <c r="D70" s="170" t="n"/>
      <c r="E70" s="294" t="n"/>
      <c r="F70" s="289" t="n"/>
      <c r="G70" s="284">
        <f>D70-E70+F70</f>
        <v/>
      </c>
      <c r="H70" s="284" t="n"/>
    </row>
    <row r="71">
      <c r="A71" s="285" t="n">
        <v>670</v>
      </c>
      <c r="B71" s="286" t="n">
        <v>6700</v>
      </c>
      <c r="C71" s="206" t="inlineStr">
        <is>
          <t>מלאי פתיחה רווח והפסד</t>
        </is>
      </c>
      <c r="D71" s="299" t="n">
        <v>74627</v>
      </c>
      <c r="E71" s="300" t="n"/>
      <c r="F71" s="294" t="n"/>
      <c r="G71" s="284">
        <f>D71-E71+F71</f>
        <v/>
      </c>
      <c r="H71" s="284" t="n"/>
    </row>
    <row r="72">
      <c r="A72" s="320" t="n">
        <v>720</v>
      </c>
      <c r="B72" s="321" t="n">
        <v>6800</v>
      </c>
      <c r="C72" s="164" t="inlineStr">
        <is>
          <t>מלאי  סגירה רווח והפסד</t>
        </is>
      </c>
      <c r="D72" s="165" t="n"/>
      <c r="E72" s="322" t="n"/>
      <c r="F72" s="294" t="n">
        <v>-17650</v>
      </c>
      <c r="G72" s="284">
        <f>D72-E72+F72</f>
        <v/>
      </c>
      <c r="H72" s="284">
        <f>SUM(G71:G72)</f>
        <v/>
      </c>
    </row>
    <row r="73">
      <c r="A73" s="317" t="n"/>
      <c r="B73" s="294" t="n"/>
      <c r="C73" s="295" t="n"/>
      <c r="D73" s="294" t="n"/>
      <c r="E73" s="294" t="n"/>
      <c r="F73" s="294" t="n"/>
      <c r="G73" s="284">
        <f>D73-E73+F73</f>
        <v/>
      </c>
      <c r="H73" s="284" t="n"/>
    </row>
    <row r="74">
      <c r="A74" s="285" t="n">
        <v>700</v>
      </c>
      <c r="B74" s="286" t="n">
        <v>7000</v>
      </c>
      <c r="C74" s="206" t="inlineStr">
        <is>
          <t>שכר עבודה</t>
        </is>
      </c>
      <c r="D74" s="287" t="n">
        <v>453124</v>
      </c>
      <c r="E74" s="208" t="n"/>
      <c r="F74" s="289" t="n"/>
      <c r="G74" s="284">
        <f>D74-E74+F74</f>
        <v/>
      </c>
      <c r="H74" s="284" t="n"/>
    </row>
    <row r="75">
      <c r="A75" s="285" t="n">
        <v>700</v>
      </c>
      <c r="B75" s="286" t="n">
        <v>7001</v>
      </c>
      <c r="C75" s="206" t="inlineStr">
        <is>
          <t>סוציאליות</t>
        </is>
      </c>
      <c r="D75" s="299" t="n">
        <v>19046</v>
      </c>
      <c r="E75" s="208" t="n"/>
      <c r="F75" s="289" t="n"/>
      <c r="G75" s="284">
        <f>D75-E75+F75</f>
        <v/>
      </c>
      <c r="H75" s="284" t="n"/>
      <c r="J75" s="298">
        <f>SUM(G63:G111)</f>
        <v/>
      </c>
    </row>
    <row r="76">
      <c r="A76" s="285" t="n">
        <v>700</v>
      </c>
      <c r="B76" s="286" t="n">
        <v>7002</v>
      </c>
      <c r="C76" s="206" t="inlineStr">
        <is>
          <t>גמל מעביד</t>
        </is>
      </c>
      <c r="D76" s="299" t="n">
        <v>20120</v>
      </c>
      <c r="E76" s="208" t="n"/>
      <c r="F76" s="289" t="n"/>
      <c r="G76" s="284">
        <f>D76-E76+F76</f>
        <v/>
      </c>
      <c r="H76" s="284" t="n"/>
    </row>
    <row r="77">
      <c r="A77" s="285" t="n">
        <v>700</v>
      </c>
      <c r="B77" s="286" t="n">
        <v>7005</v>
      </c>
      <c r="C77" s="206" t="inlineStr">
        <is>
          <t>הוצ. קרן השתלמות</t>
        </is>
      </c>
      <c r="D77" s="297" t="n">
        <v>434</v>
      </c>
      <c r="E77" s="208" t="n"/>
      <c r="F77" s="289" t="n"/>
      <c r="G77" s="284">
        <f>D77-E77+F77</f>
        <v/>
      </c>
      <c r="H77" s="284" t="n"/>
    </row>
    <row r="78">
      <c r="A78" s="285" t="n">
        <v>700</v>
      </c>
      <c r="B78" s="286" t="n">
        <v>7006</v>
      </c>
      <c r="C78" s="206" t="inlineStr">
        <is>
          <t>הוצ גמל פיצויים</t>
        </is>
      </c>
      <c r="D78" s="299" t="n">
        <v>24552</v>
      </c>
      <c r="E78" s="208" t="n"/>
      <c r="F78" s="289" t="n"/>
      <c r="G78" s="284">
        <f>D78-E78+F78</f>
        <v/>
      </c>
      <c r="H78" s="284" t="n"/>
    </row>
    <row r="79">
      <c r="A79" s="285" t="n">
        <v>700</v>
      </c>
      <c r="B79" s="286" t="n">
        <v>7010</v>
      </c>
      <c r="C79" s="206" t="inlineStr">
        <is>
          <t>הכנסות זקופות</t>
        </is>
      </c>
      <c r="D79" s="208" t="n"/>
      <c r="E79" s="301" t="n">
        <v>6362</v>
      </c>
      <c r="F79" s="289" t="n"/>
      <c r="G79" s="284">
        <f>D79-E79+F79</f>
        <v/>
      </c>
      <c r="H79" s="284" t="n"/>
    </row>
    <row r="80">
      <c r="A80" s="290" t="n"/>
      <c r="B80" s="291" t="n"/>
      <c r="C80" s="292" t="n"/>
      <c r="D80" s="323" t="n"/>
      <c r="E80" s="294" t="n"/>
      <c r="F80" s="289" t="n"/>
      <c r="G80" s="284">
        <f>D80-E80+F80</f>
        <v/>
      </c>
      <c r="H80" s="284">
        <f>SUM(G74:G80)</f>
        <v/>
      </c>
    </row>
    <row r="81">
      <c r="A81" s="294" t="n"/>
      <c r="B81" s="294" t="n"/>
      <c r="C81" s="295" t="n"/>
      <c r="D81" s="160" t="n"/>
      <c r="E81" s="294" t="n"/>
      <c r="F81" s="289" t="n"/>
      <c r="G81" s="284">
        <f>D81-E81+F81</f>
        <v/>
      </c>
      <c r="H81" s="284" t="n"/>
    </row>
    <row r="82">
      <c r="A82" s="285" t="n">
        <v>720</v>
      </c>
      <c r="B82" s="286" t="n">
        <v>7251</v>
      </c>
      <c r="C82" s="206" t="inlineStr">
        <is>
          <t>השתלמויות וקורסים</t>
        </is>
      </c>
      <c r="D82" s="299" t="n">
        <v>3041</v>
      </c>
      <c r="E82" s="300" t="n"/>
      <c r="F82" s="289" t="n"/>
      <c r="G82" s="284">
        <f>D82-E82+F82</f>
        <v/>
      </c>
      <c r="H82" s="284" t="n"/>
    </row>
    <row r="83">
      <c r="A83" s="285" t="n">
        <v>720</v>
      </c>
      <c r="B83" s="286" t="n">
        <v>7200</v>
      </c>
      <c r="C83" s="206" t="inlineStr">
        <is>
          <t>משרדיות</t>
        </is>
      </c>
      <c r="D83" s="324" t="n">
        <v>66</v>
      </c>
      <c r="E83" s="300" t="n"/>
      <c r="F83" s="289" t="n"/>
      <c r="G83" s="284">
        <f>D83-E83+F83</f>
        <v/>
      </c>
      <c r="H83" s="284">
        <f>SUM(G82:G83)</f>
        <v/>
      </c>
    </row>
    <row r="84">
      <c r="A84" s="294" t="n"/>
      <c r="B84" s="294" t="n"/>
      <c r="C84" s="295" t="n"/>
      <c r="D84" s="160" t="n"/>
      <c r="E84" s="300" t="n"/>
      <c r="F84" s="289" t="n"/>
      <c r="G84" s="284" t="n"/>
      <c r="H84" s="284" t="n"/>
    </row>
    <row r="85">
      <c r="A85" s="285" t="n">
        <v>720</v>
      </c>
      <c r="B85" s="286" t="n">
        <v>7204</v>
      </c>
      <c r="C85" s="206" t="inlineStr">
        <is>
          <t>אגרות</t>
        </is>
      </c>
      <c r="D85" s="301" t="n">
        <v>1120</v>
      </c>
      <c r="E85" s="300" t="n"/>
      <c r="F85" s="289" t="n"/>
      <c r="G85" s="284">
        <f>D85-E85+F85</f>
        <v/>
      </c>
      <c r="H85" s="284">
        <f>SUM(G83:G85)</f>
        <v/>
      </c>
    </row>
    <row r="86">
      <c r="A86" s="317" t="n"/>
      <c r="B86" s="317" t="n"/>
      <c r="C86" s="317" t="n"/>
      <c r="D86" s="317" t="n"/>
      <c r="E86" s="317" t="n"/>
      <c r="F86" s="317" t="n"/>
      <c r="G86" s="284">
        <f>D86-E86+F86</f>
        <v/>
      </c>
      <c r="H86" s="284" t="n"/>
    </row>
    <row r="87">
      <c r="A87" s="285" t="n">
        <v>720</v>
      </c>
      <c r="B87" s="286" t="n">
        <v>7206</v>
      </c>
      <c r="C87" s="206" t="inlineStr">
        <is>
          <t>שכ"ט ומשפטיות</t>
        </is>
      </c>
      <c r="D87" s="299" t="n">
        <v>21500</v>
      </c>
      <c r="E87" s="300" t="n"/>
      <c r="F87" s="289" t="n"/>
      <c r="G87" s="284">
        <f>D87-E87+F87</f>
        <v/>
      </c>
      <c r="H87" s="284" t="n"/>
    </row>
    <row r="88">
      <c r="A88" s="285" t="n">
        <v>720</v>
      </c>
      <c r="B88" s="286" t="n">
        <v>7250</v>
      </c>
      <c r="C88" s="206" t="inlineStr">
        <is>
          <t>הנהח וביקורת</t>
        </is>
      </c>
      <c r="D88" s="299" t="n">
        <v>13675.22</v>
      </c>
      <c r="E88" s="300" t="n"/>
      <c r="F88" s="289" t="n">
        <v>-6500</v>
      </c>
      <c r="G88" s="284">
        <f>D88-E88+F88</f>
        <v/>
      </c>
      <c r="H88" s="284">
        <f>SUM(G87:G88)</f>
        <v/>
      </c>
    </row>
    <row r="89">
      <c r="A89" s="300" t="n"/>
      <c r="B89" s="300" t="n"/>
      <c r="C89" s="300" t="n"/>
      <c r="D89" s="300" t="n"/>
      <c r="E89" s="300" t="n"/>
      <c r="F89" s="289" t="n"/>
      <c r="G89" s="284">
        <f>D89-E89+F89</f>
        <v/>
      </c>
      <c r="H89" s="284" t="n"/>
    </row>
    <row r="90">
      <c r="A90" s="285" t="n">
        <v>720</v>
      </c>
      <c r="B90" s="286" t="n">
        <v>7210</v>
      </c>
      <c r="C90" s="206" t="inlineStr">
        <is>
          <t>טלפון ותקשורת</t>
        </is>
      </c>
      <c r="D90" s="301" t="n">
        <v>3598.21</v>
      </c>
      <c r="E90" s="300" t="n"/>
      <c r="F90" s="289" t="n"/>
      <c r="G90" s="284">
        <f>D90-E90+F90</f>
        <v/>
      </c>
      <c r="H90" s="284" t="n"/>
    </row>
    <row r="91">
      <c r="A91" s="300" t="n"/>
      <c r="B91" s="300" t="n"/>
      <c r="C91" s="300" t="n"/>
      <c r="D91" s="300" t="n"/>
      <c r="E91" s="300" t="n"/>
      <c r="F91" s="289" t="n"/>
      <c r="G91" s="284">
        <f>D91-E91+F91</f>
        <v/>
      </c>
      <c r="H91" s="284" t="n"/>
    </row>
    <row r="92">
      <c r="A92" s="320" t="n">
        <v>730</v>
      </c>
      <c r="B92" s="321" t="n">
        <v>7302</v>
      </c>
      <c r="C92" s="164" t="inlineStr">
        <is>
          <t>הובלות</t>
        </is>
      </c>
      <c r="D92" s="325" t="n"/>
      <c r="E92" s="300" t="n"/>
      <c r="F92" s="289" t="n"/>
      <c r="G92" s="284">
        <f>D92-E92+F92</f>
        <v/>
      </c>
      <c r="H92" s="284" t="n"/>
    </row>
    <row r="93">
      <c r="A93" s="300" t="n"/>
      <c r="B93" s="300" t="n"/>
      <c r="C93" s="300" t="n"/>
      <c r="D93" s="300" t="n"/>
      <c r="E93" s="300" t="n"/>
      <c r="F93" s="289" t="n"/>
      <c r="G93" s="284">
        <f>D93-E93+F93</f>
        <v/>
      </c>
      <c r="H93" s="284" t="n"/>
    </row>
    <row r="94">
      <c r="A94" s="285" t="n">
        <v>720</v>
      </c>
      <c r="B94" s="286" t="n">
        <v>7201</v>
      </c>
      <c r="C94" s="206" t="inlineStr">
        <is>
          <t>ביטוחים</t>
        </is>
      </c>
      <c r="D94" s="299" t="n">
        <v>25500</v>
      </c>
      <c r="E94" s="300" t="n"/>
      <c r="F94" s="289" t="n"/>
      <c r="G94" s="284">
        <f>D94-E94+F94</f>
        <v/>
      </c>
      <c r="H94" s="284" t="n"/>
    </row>
    <row r="95">
      <c r="A95" s="300" t="n">
        <v>720</v>
      </c>
      <c r="B95" s="300" t="n">
        <v>7251</v>
      </c>
      <c r="C95" s="302" t="inlineStr">
        <is>
          <t>השתלמויות וקורסים</t>
        </is>
      </c>
      <c r="D95" s="170" t="n"/>
      <c r="E95" s="300" t="n"/>
      <c r="F95" s="289" t="n"/>
      <c r="G95" s="284">
        <f>D95-E95+F95</f>
        <v/>
      </c>
      <c r="H95" s="284" t="n"/>
    </row>
    <row r="96">
      <c r="A96" s="320" t="n">
        <v>720</v>
      </c>
      <c r="B96" s="321" t="n">
        <v>7207</v>
      </c>
      <c r="C96" s="164" t="inlineStr">
        <is>
          <t>בטיחות בעבודה</t>
        </is>
      </c>
      <c r="D96" s="325" t="n"/>
      <c r="E96" s="300" t="n"/>
      <c r="F96" s="289" t="n"/>
      <c r="G96" s="284">
        <f>D96-E96+F96</f>
        <v/>
      </c>
      <c r="H96" s="284" t="n"/>
    </row>
    <row r="97">
      <c r="A97" s="285" t="n">
        <v>730</v>
      </c>
      <c r="B97" s="286" t="n">
        <v>7300</v>
      </c>
      <c r="C97" s="206" t="inlineStr">
        <is>
          <t>אחזקה ותיקונים - ציוד</t>
        </is>
      </c>
      <c r="D97" s="297" t="n">
        <v>480.34</v>
      </c>
      <c r="E97" s="300" t="n"/>
      <c r="F97" s="289" t="n"/>
      <c r="G97" s="284">
        <f>D97-E97+F97</f>
        <v/>
      </c>
      <c r="H97" s="284">
        <f>SUM(G96:G97)</f>
        <v/>
      </c>
    </row>
    <row r="98">
      <c r="A98" s="294" t="n">
        <v>750</v>
      </c>
      <c r="B98" s="294" t="n">
        <v>7500</v>
      </c>
      <c r="C98" s="295" t="inlineStr">
        <is>
          <t>הוצאות פחת</t>
        </is>
      </c>
      <c r="D98" s="160" t="n"/>
      <c r="E98" s="294" t="n"/>
      <c r="F98" s="289" t="n">
        <v>17722</v>
      </c>
      <c r="G98" s="284">
        <f>D98-E98+F98</f>
        <v/>
      </c>
      <c r="H98" s="284" t="n"/>
    </row>
    <row r="99">
      <c r="A99" s="294" t="n"/>
      <c r="B99" s="294" t="n"/>
      <c r="C99" s="295" t="n"/>
      <c r="D99" s="160" t="n"/>
      <c r="E99" s="294" t="n"/>
      <c r="F99" s="289" t="n"/>
      <c r="G99" s="284">
        <f>D99-E99+F99</f>
        <v/>
      </c>
      <c r="H99" s="284" t="n"/>
    </row>
    <row r="100">
      <c r="A100" s="285" t="n">
        <v>760</v>
      </c>
      <c r="B100" s="286" t="n">
        <v>7600</v>
      </c>
      <c r="C100" s="206" t="inlineStr">
        <is>
          <t>24-388-73  יונדאי דלק    (10.2016)</t>
        </is>
      </c>
      <c r="D100" s="299" t="n">
        <v>20576.37</v>
      </c>
      <c r="E100" s="294" t="n"/>
      <c r="F100" s="289" t="n"/>
      <c r="G100" s="284">
        <f>D100-E100+F100</f>
        <v/>
      </c>
      <c r="H100" s="284" t="n"/>
    </row>
    <row r="101">
      <c r="A101" s="285" t="n">
        <v>760</v>
      </c>
      <c r="B101" s="286" t="n">
        <v>7602</v>
      </c>
      <c r="C101" s="206" t="inlineStr">
        <is>
          <t>24-388-73  יונדאי ביטוחים    (10.2016)</t>
        </is>
      </c>
      <c r="D101" s="301" t="n">
        <v>4499</v>
      </c>
      <c r="E101" s="294" t="n"/>
      <c r="F101" s="289" t="n"/>
      <c r="G101" s="284">
        <f>D101-E101+F101</f>
        <v/>
      </c>
      <c r="H101" s="284" t="n"/>
    </row>
    <row r="102">
      <c r="A102" s="290" t="n"/>
      <c r="B102" s="291" t="n"/>
      <c r="C102" s="292" t="n"/>
      <c r="D102" s="323" t="n"/>
      <c r="E102" s="294" t="n"/>
      <c r="F102" s="289" t="n"/>
      <c r="G102" s="284">
        <f>D102-E102+F102</f>
        <v/>
      </c>
      <c r="H102" s="284">
        <f>SUM(G100:G102)</f>
        <v/>
      </c>
    </row>
    <row r="103">
      <c r="A103" s="300" t="n"/>
      <c r="B103" s="300" t="n"/>
      <c r="C103" s="302" t="n"/>
      <c r="D103" s="170" t="n"/>
      <c r="E103" s="300" t="n"/>
      <c r="F103" s="289" t="n"/>
      <c r="G103" s="284">
        <f>D103-E103+F103</f>
        <v/>
      </c>
      <c r="H103" s="284" t="n"/>
    </row>
    <row r="104">
      <c r="A104" s="307" t="n">
        <v>720</v>
      </c>
      <c r="B104" s="308" t="n">
        <v>7455</v>
      </c>
      <c r="C104" s="309" t="inlineStr">
        <is>
          <t>הוצאות דיבידנד</t>
        </is>
      </c>
      <c r="D104" s="326" t="n"/>
      <c r="E104" s="300" t="n"/>
      <c r="F104" s="289" t="n"/>
      <c r="G104" s="284">
        <f>D104-E104+F104</f>
        <v/>
      </c>
      <c r="H104" s="284" t="n"/>
    </row>
    <row r="105">
      <c r="A105" s="300" t="n"/>
      <c r="B105" s="300" t="n"/>
      <c r="C105" s="302" t="inlineStr">
        <is>
          <t>הפסד הון</t>
        </is>
      </c>
      <c r="D105" s="170" t="n"/>
      <c r="E105" s="300" t="n"/>
      <c r="F105" s="289" t="n"/>
      <c r="G105" s="284">
        <f>D105-E105+F105</f>
        <v/>
      </c>
      <c r="H105" s="284" t="n"/>
    </row>
    <row r="106">
      <c r="A106" s="300" t="n"/>
      <c r="B106" s="300" t="n"/>
      <c r="C106" s="302" t="n"/>
      <c r="D106" s="170" t="n"/>
      <c r="E106" s="300" t="n"/>
      <c r="F106" s="289" t="n"/>
      <c r="G106" s="284" t="n"/>
      <c r="H106" s="284" t="n"/>
    </row>
    <row r="107">
      <c r="A107" s="285" t="n">
        <v>790</v>
      </c>
      <c r="B107" s="286" t="n">
        <v>7900</v>
      </c>
      <c r="C107" s="206" t="inlineStr">
        <is>
          <t>ריבית ועמלות בנק</t>
        </is>
      </c>
      <c r="D107" s="301" t="n">
        <v>3000.52</v>
      </c>
      <c r="E107" s="208" t="n"/>
      <c r="F107" s="289" t="n"/>
      <c r="G107" s="284">
        <f>D107-E107+F107</f>
        <v/>
      </c>
      <c r="H107" s="284" t="n"/>
    </row>
    <row r="108">
      <c r="A108" s="285" t="n">
        <v>790</v>
      </c>
      <c r="B108" s="286" t="n">
        <v>7920</v>
      </c>
      <c r="C108" s="206" t="inlineStr">
        <is>
          <t>ריבית מס הכנסה</t>
        </is>
      </c>
      <c r="D108" s="208" t="n"/>
      <c r="E108" s="297" t="n">
        <v>274</v>
      </c>
      <c r="F108" s="289" t="n"/>
      <c r="G108" s="284">
        <f>D108-E108+F108</f>
        <v/>
      </c>
      <c r="H108" s="284" t="n"/>
    </row>
    <row r="109">
      <c r="A109" s="285" t="n">
        <v>790</v>
      </c>
      <c r="B109" s="286" t="n">
        <v>7950</v>
      </c>
      <c r="C109" s="206" t="inlineStr">
        <is>
          <t>ריבית פקדון</t>
        </is>
      </c>
      <c r="D109" s="208" t="n"/>
      <c r="E109" s="297" t="n">
        <v>135.31</v>
      </c>
      <c r="F109" s="289" t="n"/>
      <c r="G109" s="284">
        <f>D109-E109+F109</f>
        <v/>
      </c>
      <c r="H109" s="284" t="n"/>
    </row>
    <row r="110">
      <c r="A110" s="285" t="n">
        <v>790</v>
      </c>
      <c r="B110" s="286" t="n">
        <v>7999</v>
      </c>
      <c r="C110" s="206" t="inlineStr">
        <is>
          <t>ביטול ייתרות</t>
        </is>
      </c>
      <c r="D110" s="324" t="n">
        <v>17.23</v>
      </c>
      <c r="E110" s="208" t="n"/>
      <c r="F110" s="289" t="n"/>
      <c r="G110" s="284">
        <f>D110-E110+F110</f>
        <v/>
      </c>
      <c r="H110" s="284" t="n"/>
    </row>
    <row r="111">
      <c r="A111" s="320" t="n"/>
      <c r="B111" s="321" t="n"/>
      <c r="C111" s="164" t="n"/>
      <c r="D111" s="327" t="n"/>
      <c r="E111" s="165" t="n"/>
      <c r="F111" s="289" t="n"/>
      <c r="G111" s="284">
        <f>D111-E111+F111</f>
        <v/>
      </c>
      <c r="H111" s="284">
        <f>SUM(G107:G110)</f>
        <v/>
      </c>
    </row>
    <row r="112">
      <c r="A112" s="320" t="n"/>
      <c r="B112" s="321" t="n"/>
      <c r="C112" s="164" t="n"/>
      <c r="D112" s="327" t="n"/>
      <c r="E112" s="165" t="n"/>
      <c r="F112" s="296" t="n"/>
      <c r="G112" s="284">
        <f>D112-E112+F112</f>
        <v/>
      </c>
      <c r="H112" s="283" t="n"/>
    </row>
    <row r="113">
      <c r="A113" s="328" t="n"/>
      <c r="B113" s="328" t="n"/>
      <c r="C113" s="329" t="n"/>
      <c r="D113" s="328">
        <f>SUM(D3:D111)</f>
        <v/>
      </c>
      <c r="E113" s="328">
        <f>SUM(E5:E111)</f>
        <v/>
      </c>
      <c r="F113" s="328">
        <f>SUM(F5:F112)</f>
        <v/>
      </c>
      <c r="G113" s="328">
        <f>SUM(G4:G112)</f>
        <v/>
      </c>
      <c r="H113" s="283" t="n"/>
    </row>
    <row r="114">
      <c r="A114" s="296" t="n"/>
      <c r="B114" s="296" t="n"/>
      <c r="C114" s="296" t="n"/>
      <c r="D114" s="296" t="n"/>
      <c r="E114" s="296" t="n"/>
      <c r="F114" s="296" t="n"/>
      <c r="G114" s="296" t="n"/>
    </row>
    <row r="115">
      <c r="A115" s="296" t="n"/>
      <c r="B115" s="296" t="n"/>
      <c r="C115" s="296" t="n"/>
      <c r="D115" s="296" t="n"/>
      <c r="E115" s="296" t="n"/>
      <c r="F115" s="296" t="n"/>
      <c r="G115" s="296" t="n"/>
    </row>
    <row r="116">
      <c r="A116" s="296" t="n"/>
      <c r="B116" s="296" t="n"/>
      <c r="C116" s="296" t="n"/>
      <c r="D116" s="296" t="n"/>
      <c r="E116" s="296" t="n"/>
      <c r="F116" s="296" t="n"/>
      <c r="G116" s="296"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A133" s="296" t="n"/>
      <c r="B133" s="296" t="n"/>
      <c r="C133" s="296" t="n"/>
      <c r="D133" s="296" t="n"/>
      <c r="E133" s="296" t="n"/>
      <c r="F133" s="296" t="n"/>
      <c r="G133" s="296" t="n"/>
    </row>
    <row r="134">
      <c r="G134" s="298" t="n"/>
    </row>
    <row r="135">
      <c r="G135" s="298" t="n"/>
    </row>
    <row r="136">
      <c r="G136" s="298"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row r="386">
      <c r="G386" s="298"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86"/>
  <sheetViews>
    <sheetView rightToLeft="1" workbookViewId="0">
      <selection activeCell="A1" sqref="A1:IV65536"/>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 xml:space="preserve">מירון יתרות </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330" t="n">
        <v>110</v>
      </c>
      <c r="B4" s="331" t="n">
        <v>1030</v>
      </c>
      <c r="C4" s="216" t="inlineStr">
        <is>
          <t>פקדון</t>
        </is>
      </c>
      <c r="D4" s="332" t="n">
        <v>52828.56</v>
      </c>
      <c r="E4" s="289" t="n"/>
      <c r="F4" s="284" t="n"/>
      <c r="G4" s="284">
        <f>D4-E4+F4</f>
        <v/>
      </c>
      <c r="H4" s="284" t="n"/>
    </row>
    <row r="5">
      <c r="A5" s="330" t="n">
        <v>110</v>
      </c>
      <c r="B5" s="331" t="n">
        <v>1100</v>
      </c>
      <c r="C5" s="216" t="inlineStr">
        <is>
          <t>בנק הפועלים בע"מ</t>
        </is>
      </c>
      <c r="D5" s="333" t="n">
        <v>978055.3100000001</v>
      </c>
      <c r="E5" s="289" t="n"/>
      <c r="F5" s="289" t="n"/>
      <c r="G5" s="284">
        <f>D5-E5+F5</f>
        <v/>
      </c>
      <c r="H5" s="284" t="n"/>
    </row>
    <row r="6">
      <c r="A6" s="290" t="n"/>
      <c r="B6" s="291" t="n"/>
      <c r="C6" s="292" t="n"/>
      <c r="D6" s="293" t="n"/>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89" t="n"/>
      <c r="G8" s="284">
        <f>D8-E8+F8</f>
        <v/>
      </c>
      <c r="H8" s="284" t="n"/>
    </row>
    <row r="9">
      <c r="A9" s="285" t="n">
        <v>110</v>
      </c>
      <c r="B9" s="286" t="n">
        <v>1150</v>
      </c>
      <c r="C9" s="206" t="inlineStr">
        <is>
          <t>שקים לפרעון</t>
        </is>
      </c>
      <c r="D9" s="208" t="n"/>
      <c r="E9" s="297" t="n"/>
      <c r="F9" s="289" t="n"/>
      <c r="G9" s="284">
        <f>D9-E9+F9</f>
        <v/>
      </c>
      <c r="H9" s="284" t="n"/>
    </row>
    <row r="10">
      <c r="A10" s="294" t="n"/>
      <c r="B10" s="294" t="n"/>
      <c r="C10" s="295" t="n"/>
      <c r="D10" s="160" t="n"/>
      <c r="E10" s="294" t="n"/>
      <c r="F10" s="289" t="n"/>
      <c r="G10" s="284">
        <f>D10-E10+F10</f>
        <v/>
      </c>
      <c r="H10" s="284" t="n"/>
      <c r="M10" s="298" t="n">
        <v>1838445</v>
      </c>
    </row>
    <row r="11">
      <c r="A11" s="294" t="n"/>
      <c r="B11" s="294" t="n"/>
      <c r="C11" s="140" t="inlineStr">
        <is>
          <t>לקוחות</t>
        </is>
      </c>
      <c r="D11" s="294" t="n"/>
      <c r="E11" s="160" t="n"/>
      <c r="F11" s="289" t="n"/>
      <c r="G11" s="284">
        <f>D11-E11+F11</f>
        <v/>
      </c>
      <c r="H11" s="284" t="n"/>
    </row>
    <row r="12">
      <c r="A12" s="330" t="n">
        <v>200</v>
      </c>
      <c r="B12" s="331" t="n">
        <v>2040</v>
      </c>
      <c r="C12" s="216" t="inlineStr">
        <is>
          <t>חברת החשמל לישראל בע"מ</t>
        </is>
      </c>
      <c r="D12" s="332" t="n">
        <v>78625</v>
      </c>
      <c r="E12" s="300" t="n"/>
      <c r="F12" s="289" t="n"/>
      <c r="G12" s="284">
        <f>D12-E12+F12</f>
        <v/>
      </c>
      <c r="H12" s="284" t="n"/>
      <c r="M12" s="298" t="n">
        <v>6500</v>
      </c>
    </row>
    <row r="13">
      <c r="A13" s="330" t="n">
        <v>200</v>
      </c>
      <c r="B13" s="331" t="n">
        <v>2080</v>
      </c>
      <c r="C13" s="216" t="inlineStr">
        <is>
          <t>החברה הלאומית לאספקת פחם בע"מ</t>
        </is>
      </c>
      <c r="D13" s="332" t="n">
        <v>10179</v>
      </c>
      <c r="E13" s="300" t="n"/>
      <c r="F13" s="289" t="n"/>
      <c r="G13" s="284">
        <f>D13-E13+F13</f>
        <v/>
      </c>
      <c r="H13" s="284" t="n"/>
    </row>
    <row r="14">
      <c r="A14" s="285" t="n">
        <v>200</v>
      </c>
      <c r="B14" s="286" t="n">
        <v>2080</v>
      </c>
      <c r="C14" s="206" t="inlineStr">
        <is>
          <t>החברה הלאומית לאספקת פחם בע"מ</t>
        </is>
      </c>
      <c r="D14" s="301" t="n"/>
      <c r="E14" s="294" t="n"/>
      <c r="F14" s="289" t="n"/>
      <c r="G14" s="284">
        <f>D14-E14+F14</f>
        <v/>
      </c>
      <c r="H14" s="284" t="n"/>
      <c r="M14" s="298" t="n">
        <v>-1283188</v>
      </c>
    </row>
    <row r="15">
      <c r="A15" s="300" t="n"/>
      <c r="B15" s="300" t="n"/>
      <c r="C15" s="302" t="n"/>
      <c r="D15" s="170" t="n"/>
      <c r="E15" s="300" t="n"/>
      <c r="F15" s="289" t="n"/>
      <c r="G15" s="284">
        <f>D15-E15+F15</f>
        <v/>
      </c>
      <c r="H15" s="284">
        <f>SUM(G12:G15)</f>
        <v/>
      </c>
      <c r="M15" s="298">
        <f>SUM(M10:M14)</f>
        <v/>
      </c>
    </row>
    <row r="16">
      <c r="A16" s="294" t="n"/>
      <c r="B16" s="294" t="n"/>
      <c r="C16" s="140" t="inlineStr">
        <is>
          <t>פקיד שומה</t>
        </is>
      </c>
      <c r="D16" s="294" t="n"/>
      <c r="E16" s="294" t="n"/>
      <c r="F16" s="289" t="n"/>
      <c r="G16" s="284">
        <f>D16-E16+F16</f>
        <v/>
      </c>
      <c r="H16" s="284" t="n"/>
    </row>
    <row r="17">
      <c r="A17" s="330" t="n">
        <v>270</v>
      </c>
      <c r="B17" s="331" t="n">
        <v>2700</v>
      </c>
      <c r="C17" s="216" t="inlineStr">
        <is>
          <t>נכוי במקור - לקוחות</t>
        </is>
      </c>
      <c r="D17" s="332" t="n">
        <v>33966.5</v>
      </c>
      <c r="E17" s="219" t="n"/>
      <c r="F17" s="289" t="n"/>
      <c r="G17" s="284">
        <f>D17-E17+F17</f>
        <v/>
      </c>
      <c r="H17" s="284" t="n"/>
    </row>
    <row r="18">
      <c r="A18" s="330" t="n">
        <v>270</v>
      </c>
      <c r="B18" s="331" t="n">
        <v>2744</v>
      </c>
      <c r="C18" s="216" t="inlineStr">
        <is>
          <t>מס הכנסה שנים קודמות</t>
        </is>
      </c>
      <c r="D18" s="219" t="n"/>
      <c r="E18" s="334" t="n">
        <v>7527.27</v>
      </c>
      <c r="F18" s="289" t="n">
        <v>7988</v>
      </c>
      <c r="G18" s="284">
        <f>D18-E18+F18</f>
        <v/>
      </c>
      <c r="H18" s="284" t="n"/>
    </row>
    <row r="19">
      <c r="A19" s="330" t="n">
        <v>270</v>
      </c>
      <c r="B19" s="331" t="n">
        <v>2745</v>
      </c>
      <c r="C19" s="216" t="inlineStr">
        <is>
          <t>מס הכנסה מקדמות</t>
        </is>
      </c>
      <c r="D19" s="332" t="n">
        <v>23905</v>
      </c>
      <c r="E19" s="219" t="n"/>
      <c r="F19" s="289" t="n">
        <v>-7988</v>
      </c>
      <c r="G19" s="284">
        <f>D19-E19+F19</f>
        <v/>
      </c>
      <c r="H19" s="284" t="n"/>
    </row>
    <row r="20" ht="17" customHeight="1" s="282" thickBot="1">
      <c r="A20" s="300" t="n"/>
      <c r="B20" s="300" t="n"/>
      <c r="C20" s="302" t="n"/>
      <c r="D20" s="300" t="n"/>
      <c r="E20" s="170" t="n"/>
      <c r="F20" s="289" t="n"/>
      <c r="G20" s="284">
        <f>D20-E20+F20</f>
        <v/>
      </c>
      <c r="H20" s="284">
        <f>SUM(G17:G20)</f>
        <v/>
      </c>
    </row>
    <row r="21">
      <c r="A21" s="294" t="n"/>
      <c r="B21" s="294" t="n"/>
      <c r="C21" s="140" t="inlineStr">
        <is>
          <t>רכוש קבוע</t>
        </is>
      </c>
      <c r="D21" s="294" t="n"/>
      <c r="E21" s="160" t="n"/>
      <c r="F21" s="289" t="n"/>
      <c r="G21" s="284">
        <f>D21-E21+F21</f>
        <v/>
      </c>
      <c r="H21" s="284" t="n"/>
      <c r="M21" s="303" t="inlineStr">
        <is>
          <t>מלאי</t>
        </is>
      </c>
    </row>
    <row r="22">
      <c r="A22" s="290" t="n"/>
      <c r="B22" s="291" t="n"/>
      <c r="C22" s="292" t="n"/>
      <c r="D22" s="293" t="n"/>
      <c r="E22" s="304" t="n"/>
      <c r="F22" s="289" t="n"/>
      <c r="G22" s="284">
        <f>D22-E22+F22</f>
        <v/>
      </c>
      <c r="H22" s="284" t="n"/>
      <c r="M22" s="305" t="n">
        <v>29924</v>
      </c>
    </row>
    <row r="23">
      <c r="A23" s="330" t="n">
        <v>280</v>
      </c>
      <c r="B23" s="331" t="n">
        <v>2800</v>
      </c>
      <c r="C23" s="216" t="inlineStr">
        <is>
          <t>רכוש קבוע</t>
        </is>
      </c>
      <c r="D23" s="333" t="n">
        <v>181086.98</v>
      </c>
      <c r="E23" s="219" t="n"/>
      <c r="F23" s="289" t="n"/>
      <c r="G23" s="284">
        <f>D23-E23+F23</f>
        <v/>
      </c>
      <c r="H23" s="284">
        <f>SUM(G22:G23)</f>
        <v/>
      </c>
      <c r="M23" s="305" t="n"/>
    </row>
    <row r="24" ht="17" customHeight="1" s="282" thickBot="1">
      <c r="A24" s="330" t="n">
        <v>280</v>
      </c>
      <c r="B24" s="331" t="n">
        <v>2850</v>
      </c>
      <c r="C24" s="216" t="inlineStr">
        <is>
          <t>פחת נצבר</t>
        </is>
      </c>
      <c r="D24" s="219" t="n"/>
      <c r="E24" s="333" t="n">
        <v>116866</v>
      </c>
      <c r="F24" s="289" t="n">
        <v>-17644</v>
      </c>
      <c r="G24" s="284">
        <f>D24-E24+F24</f>
        <v/>
      </c>
      <c r="H24" s="284">
        <f>SUM(G24)</f>
        <v/>
      </c>
      <c r="M24" s="306" t="n">
        <v>36943</v>
      </c>
    </row>
    <row r="25">
      <c r="A25" s="294" t="n"/>
      <c r="B25" s="294" t="n"/>
      <c r="C25" s="295" t="n"/>
      <c r="D25" s="294" t="n"/>
      <c r="E25" s="160" t="n"/>
      <c r="F25" s="289" t="n"/>
      <c r="G25" s="284">
        <f>D25-E25+F25</f>
        <v/>
      </c>
      <c r="H25" s="284" t="n"/>
      <c r="M25" s="298">
        <f>SUM(M22:M24)</f>
        <v/>
      </c>
    </row>
    <row r="26">
      <c r="A26" s="294" t="n"/>
      <c r="B26" s="294" t="n"/>
      <c r="C26" s="295" t="n"/>
      <c r="D26" s="294" t="n"/>
      <c r="E26" s="160" t="n"/>
      <c r="F26" s="289" t="n"/>
      <c r="G26" s="284">
        <f>D26-E26+F26</f>
        <v/>
      </c>
      <c r="H26" s="284" t="n"/>
    </row>
    <row r="27">
      <c r="A27" s="294" t="n">
        <v>290</v>
      </c>
      <c r="B27" s="294" t="n">
        <v>2901</v>
      </c>
      <c r="C27" s="294" t="inlineStr">
        <is>
          <t>מלאי עבודות בביצוע מאזן</t>
        </is>
      </c>
      <c r="D27" s="294" t="n"/>
      <c r="E27" s="160" t="n"/>
      <c r="F27" s="289" t="n">
        <v>27815</v>
      </c>
      <c r="G27" s="284">
        <f>D27-E27+F27</f>
        <v/>
      </c>
      <c r="H27" s="284" t="n"/>
    </row>
    <row r="28">
      <c r="A28" s="294" t="n"/>
      <c r="B28" s="294" t="n"/>
      <c r="C28" s="140" t="inlineStr">
        <is>
          <t>ספקים</t>
        </is>
      </c>
      <c r="D28" s="294" t="n"/>
      <c r="E28" s="160" t="n"/>
      <c r="F28" s="289" t="n"/>
      <c r="G28" s="284">
        <f>D28-E28+F28</f>
        <v/>
      </c>
      <c r="H28" s="284" t="n"/>
    </row>
    <row r="29">
      <c r="A29" s="330" t="n">
        <v>300</v>
      </c>
      <c r="B29" s="331" t="n">
        <v>3004</v>
      </c>
      <c r="C29" s="216" t="inlineStr">
        <is>
          <t>גבס השרון בע"מ</t>
        </is>
      </c>
      <c r="D29" s="219" t="n"/>
      <c r="E29" s="335" t="n">
        <v>346</v>
      </c>
      <c r="F29" s="289" t="n"/>
      <c r="G29" s="284">
        <f>D29-E29+F29</f>
        <v/>
      </c>
      <c r="H29" s="284" t="n"/>
    </row>
    <row r="30">
      <c r="A30" s="330" t="n">
        <v>300</v>
      </c>
      <c r="B30" s="331" t="n">
        <v>3080</v>
      </c>
      <c r="C30" s="216" t="inlineStr">
        <is>
          <t>סופרדיל לבנין ולבית</t>
        </is>
      </c>
      <c r="D30" s="219" t="n"/>
      <c r="E30" s="334" t="n">
        <v>2607.4</v>
      </c>
      <c r="F30" s="289" t="n"/>
      <c r="G30" s="284">
        <f>D30-E30+F30</f>
        <v/>
      </c>
      <c r="H30" s="284" t="n"/>
    </row>
    <row r="31">
      <c r="A31" s="330" t="n">
        <v>300</v>
      </c>
      <c r="B31" s="331" t="n">
        <v>3241</v>
      </c>
      <c r="C31" s="216" t="inlineStr">
        <is>
          <t>אורלי - משאבי אנרגיה בע"מ</t>
        </is>
      </c>
      <c r="D31" s="219" t="n"/>
      <c r="E31" s="334" t="n">
        <v>2021</v>
      </c>
      <c r="F31" s="289" t="n"/>
      <c r="G31" s="284">
        <f>D31-E31+F31</f>
        <v/>
      </c>
      <c r="H31" s="284" t="n"/>
    </row>
    <row r="32">
      <c r="A32" s="330" t="n">
        <v>100</v>
      </c>
      <c r="B32" s="331" t="n">
        <v>3150</v>
      </c>
      <c r="C32" s="216" t="inlineStr">
        <is>
          <t>ספקים שונים</t>
        </is>
      </c>
      <c r="D32" s="219" t="n"/>
      <c r="E32" s="334" t="n">
        <v>3052</v>
      </c>
      <c r="F32" s="289" t="n"/>
      <c r="G32" s="284">
        <f>D32-E32+F32</f>
        <v/>
      </c>
      <c r="H32" s="284" t="n"/>
    </row>
    <row r="33">
      <c r="A33" s="336" t="n">
        <v>350</v>
      </c>
      <c r="B33" s="337" t="n">
        <v>3515</v>
      </c>
      <c r="C33" s="338" t="inlineStr">
        <is>
          <t>מגדל חברה לביטוח</t>
        </is>
      </c>
      <c r="D33" s="339" t="n"/>
      <c r="E33" s="340" t="n"/>
      <c r="F33" s="289" t="n"/>
      <c r="G33" s="284">
        <f>D33-E33+F33</f>
        <v/>
      </c>
      <c r="H33" s="284">
        <f>SUM(G29:G33)</f>
        <v/>
      </c>
    </row>
    <row r="34">
      <c r="A34" s="294" t="n"/>
      <c r="B34" s="294" t="n"/>
      <c r="C34" s="294" t="n"/>
      <c r="D34" s="294" t="n"/>
      <c r="E34" s="294" t="n"/>
      <c r="F34" s="289" t="n"/>
      <c r="G34" s="284">
        <f>D34-E34+F34</f>
        <v/>
      </c>
      <c r="H34" s="284" t="n"/>
    </row>
    <row r="35">
      <c r="A35" s="294" t="n"/>
      <c r="B35" s="294" t="n"/>
      <c r="C35" s="294" t="inlineStr">
        <is>
          <t>הוצאות מראש</t>
        </is>
      </c>
      <c r="D35" s="294" t="n"/>
      <c r="E35" s="294" t="n"/>
      <c r="F35" s="289" t="n"/>
      <c r="G35" s="284">
        <f>D35-E35+F35</f>
        <v/>
      </c>
      <c r="H35" s="284" t="n"/>
    </row>
    <row r="36">
      <c r="A36" s="294" t="n"/>
      <c r="B36" s="294" t="n"/>
      <c r="C36" s="294" t="n"/>
      <c r="D36" s="294" t="n"/>
      <c r="E36" s="294" t="n"/>
      <c r="F36" s="289" t="n"/>
      <c r="G36" s="284">
        <f>D36-E36+F36</f>
        <v/>
      </c>
      <c r="H36" s="284" t="n"/>
    </row>
    <row r="37">
      <c r="A37" s="285" t="n">
        <v>750</v>
      </c>
      <c r="B37" s="286" t="n">
        <v>7550</v>
      </c>
      <c r="C37" s="206" t="inlineStr">
        <is>
          <t>הוצאות לשלם</t>
        </is>
      </c>
      <c r="D37" s="208" t="n"/>
      <c r="E37" s="301" t="n"/>
      <c r="F37" s="289" t="n"/>
      <c r="G37" s="284">
        <f>D37-E37+F37</f>
        <v/>
      </c>
      <c r="H37" s="284" t="n"/>
    </row>
    <row r="38">
      <c r="A38" s="294" t="n"/>
      <c r="B38" s="294" t="n"/>
      <c r="C38" s="294" t="n"/>
      <c r="D38" s="294" t="n"/>
      <c r="E38" s="294" t="n"/>
      <c r="F38" s="289" t="n"/>
      <c r="G38" s="284">
        <f>D38-E38+F38</f>
        <v/>
      </c>
      <c r="H38" s="284" t="n"/>
    </row>
    <row r="39">
      <c r="A39" s="294" t="n"/>
      <c r="B39" s="294" t="n"/>
      <c r="C39" s="294" t="n"/>
      <c r="D39" s="294" t="n"/>
      <c r="E39" s="294" t="n"/>
      <c r="F39" s="289" t="n"/>
      <c r="G39" s="284">
        <f>D39-E39+F39</f>
        <v/>
      </c>
      <c r="H39" s="284" t="n"/>
    </row>
    <row r="40">
      <c r="A40" s="330" t="n">
        <v>360</v>
      </c>
      <c r="B40" s="331" t="n">
        <v>3600</v>
      </c>
      <c r="C40" s="216" t="inlineStr">
        <is>
          <t>מס הכנסה ניכויים</t>
        </is>
      </c>
      <c r="D40" s="219" t="n"/>
      <c r="E40" s="334" t="n">
        <v>1325</v>
      </c>
      <c r="F40" s="289" t="n"/>
      <c r="G40" s="284">
        <f>D40-E40+F40</f>
        <v/>
      </c>
      <c r="H40" s="284" t="n"/>
    </row>
    <row r="41">
      <c r="A41" s="330" t="n">
        <v>360</v>
      </c>
      <c r="B41" s="331" t="n">
        <v>3610</v>
      </c>
      <c r="C41" s="216" t="inlineStr">
        <is>
          <t>ביטוח לאומי ניכויים</t>
        </is>
      </c>
      <c r="D41" s="219" t="n"/>
      <c r="E41" s="334" t="n">
        <v>2181</v>
      </c>
      <c r="F41" s="289" t="n"/>
      <c r="G41" s="284">
        <f>D41-E41+F41</f>
        <v/>
      </c>
      <c r="H41" s="284" t="n"/>
    </row>
    <row r="42">
      <c r="A42" s="330" t="n">
        <v>351</v>
      </c>
      <c r="B42" s="331" t="n">
        <v>3640</v>
      </c>
      <c r="C42" s="216" t="inlineStr">
        <is>
          <t>הפניקס קרן פנסיה</t>
        </is>
      </c>
      <c r="D42" s="219" t="n"/>
      <c r="E42" s="334" t="n">
        <v>2980</v>
      </c>
      <c r="F42" s="289" t="n"/>
      <c r="G42" s="284">
        <f>D42-E42+F42</f>
        <v/>
      </c>
      <c r="H42" s="284" t="n"/>
    </row>
    <row r="43">
      <c r="A43" s="330" t="n">
        <v>370</v>
      </c>
      <c r="B43" s="331" t="n">
        <v>3702</v>
      </c>
      <c r="C43" s="216" t="inlineStr">
        <is>
          <t>ראובן גבי</t>
        </is>
      </c>
      <c r="D43" s="219" t="n"/>
      <c r="E43" s="334" t="n">
        <v>4797</v>
      </c>
      <c r="F43" s="289" t="n"/>
      <c r="G43" s="284">
        <f>D43-E43+F43</f>
        <v/>
      </c>
      <c r="H43" s="284" t="n"/>
    </row>
    <row r="44">
      <c r="A44" s="330" t="n">
        <v>370</v>
      </c>
      <c r="B44" s="331" t="n">
        <v>3705</v>
      </c>
      <c r="C44" s="216" t="inlineStr">
        <is>
          <t>אבולפיה שמואל</t>
        </is>
      </c>
      <c r="D44" s="219" t="n"/>
      <c r="E44" s="334" t="n">
        <v>5261</v>
      </c>
      <c r="F44" s="289" t="n"/>
      <c r="G44" s="284">
        <f>D44-E44+F44</f>
        <v/>
      </c>
      <c r="H44" s="284" t="n"/>
    </row>
    <row r="45">
      <c r="A45" s="330" t="n">
        <v>370</v>
      </c>
      <c r="B45" s="331" t="n">
        <v>3707</v>
      </c>
      <c r="C45" s="216" t="inlineStr">
        <is>
          <t>ראובן לוסי</t>
        </is>
      </c>
      <c r="D45" s="219" t="n"/>
      <c r="E45" s="335" t="n">
        <v>300</v>
      </c>
      <c r="F45" s="289" t="n"/>
      <c r="G45" s="284">
        <f>D45-E45+F45</f>
        <v/>
      </c>
      <c r="H45" s="284" t="n"/>
    </row>
    <row r="46">
      <c r="A46" s="330" t="n">
        <v>370</v>
      </c>
      <c r="B46" s="331" t="n">
        <v>3717</v>
      </c>
      <c r="C46" s="216" t="inlineStr">
        <is>
          <t>מוריוסף אשר</t>
        </is>
      </c>
      <c r="D46" s="219" t="n"/>
      <c r="E46" s="334" t="n">
        <v>4988</v>
      </c>
      <c r="F46" s="289" t="n"/>
      <c r="G46" s="284">
        <f>D46-E46+F46</f>
        <v/>
      </c>
      <c r="H46" s="284" t="n"/>
    </row>
    <row r="47">
      <c r="A47" s="330" t="n">
        <v>370</v>
      </c>
      <c r="B47" s="331" t="n">
        <v>3731</v>
      </c>
      <c r="C47" s="216" t="inlineStr">
        <is>
          <t>ראובן רחמים</t>
        </is>
      </c>
      <c r="D47" s="219" t="n"/>
      <c r="E47" s="334" t="n">
        <v>7124</v>
      </c>
      <c r="F47" s="289" t="n"/>
      <c r="G47" s="284">
        <f>D47-E47+F47</f>
        <v/>
      </c>
      <c r="H47" s="284" t="n"/>
    </row>
    <row r="48">
      <c r="A48" s="330" t="n">
        <v>370</v>
      </c>
      <c r="B48" s="331" t="n">
        <v>3733</v>
      </c>
      <c r="C48" s="216" t="inlineStr">
        <is>
          <t>אלעד ראובן</t>
        </is>
      </c>
      <c r="D48" s="219" t="n"/>
      <c r="E48" s="334" t="n">
        <v>5300</v>
      </c>
      <c r="F48" s="289" t="n"/>
      <c r="G48" s="284">
        <f>D48-E48+F48</f>
        <v/>
      </c>
      <c r="H48" s="284" t="n"/>
    </row>
    <row r="49">
      <c r="A49" s="341" t="n">
        <v>370</v>
      </c>
      <c r="B49" s="342" t="n">
        <v>3733</v>
      </c>
      <c r="C49" s="229" t="inlineStr">
        <is>
          <t>אלעד ראובן</t>
        </is>
      </c>
      <c r="D49" s="230" t="n"/>
      <c r="E49" s="343" t="n"/>
      <c r="F49" s="289" t="n"/>
      <c r="G49" s="284">
        <f>D49-E49+F49</f>
        <v/>
      </c>
      <c r="H49" s="284" t="n"/>
    </row>
    <row r="50">
      <c r="A50" s="336" t="n">
        <v>370</v>
      </c>
      <c r="B50" s="337" t="n">
        <v>3731</v>
      </c>
      <c r="C50" s="338" t="inlineStr">
        <is>
          <t>ראובן רחמים</t>
        </is>
      </c>
      <c r="D50" s="340" t="n"/>
      <c r="E50" s="339" t="n"/>
      <c r="F50" s="289" t="n"/>
      <c r="G50" s="284">
        <f>D50-E50+F50</f>
        <v/>
      </c>
      <c r="H50" s="284">
        <f>SUM(G40:G50)</f>
        <v/>
      </c>
    </row>
    <row r="51">
      <c r="A51" s="294" t="n"/>
      <c r="B51" s="294" t="n"/>
      <c r="C51" s="140" t="inlineStr">
        <is>
          <t>אגף המכס והבלו</t>
        </is>
      </c>
      <c r="D51" s="294" t="n"/>
      <c r="E51" s="160" t="n"/>
      <c r="F51" s="289" t="n"/>
      <c r="G51" s="284">
        <f>D51-E51+F51</f>
        <v/>
      </c>
      <c r="H51" s="284" t="n"/>
    </row>
    <row r="52">
      <c r="A52" s="330" t="n">
        <v>500</v>
      </c>
      <c r="B52" s="331" t="n">
        <v>5000</v>
      </c>
      <c r="C52" s="216" t="inlineStr">
        <is>
          <t>מעמ תשומות</t>
        </is>
      </c>
      <c r="D52" s="335" t="n">
        <v>105.77</v>
      </c>
      <c r="E52" s="219" t="n"/>
      <c r="F52" s="289" t="n"/>
      <c r="G52" s="284">
        <f>D52-E52+F52</f>
        <v/>
      </c>
      <c r="H52" s="284" t="n"/>
    </row>
    <row r="53">
      <c r="A53" s="330" t="n">
        <v>500</v>
      </c>
      <c r="B53" s="331" t="n">
        <v>5040</v>
      </c>
      <c r="C53" s="216" t="inlineStr">
        <is>
          <t>חוז מעמ</t>
        </is>
      </c>
      <c r="D53" s="219" t="n"/>
      <c r="E53" s="332" t="n">
        <v>12891</v>
      </c>
      <c r="F53" s="289" t="n"/>
      <c r="G53" s="284">
        <f>D53-E53+F53</f>
        <v/>
      </c>
      <c r="H53" s="284" t="n"/>
    </row>
    <row r="54">
      <c r="A54" s="290" t="n"/>
      <c r="B54" s="291" t="n"/>
      <c r="C54" s="292" t="n"/>
      <c r="D54" s="304" t="n"/>
      <c r="E54" s="311" t="n"/>
      <c r="F54" s="289" t="n"/>
      <c r="G54" s="284">
        <f>D54-E54+F54</f>
        <v/>
      </c>
      <c r="H54" s="284">
        <f>SUM(G52:G54)</f>
        <v/>
      </c>
    </row>
    <row r="55">
      <c r="A55" s="294" t="n"/>
      <c r="B55" s="294" t="n"/>
      <c r="C55" s="295" t="n"/>
      <c r="D55" s="294" t="n"/>
      <c r="E55" s="160" t="n"/>
      <c r="F55" s="289" t="n"/>
      <c r="G55" s="284">
        <f>D55-E55+F55</f>
        <v/>
      </c>
      <c r="H55" s="284" t="n"/>
    </row>
    <row r="56">
      <c r="A56" s="330" t="n">
        <v>510</v>
      </c>
      <c r="B56" s="331" t="n">
        <v>5100</v>
      </c>
      <c r="C56" s="216" t="inlineStr">
        <is>
          <t>ראובן מירון</t>
        </is>
      </c>
      <c r="D56" s="219" t="n"/>
      <c r="E56" s="332" t="n">
        <v>12718.44</v>
      </c>
      <c r="F56" s="289" t="n"/>
      <c r="G56" s="284">
        <f>D56-E56+F56</f>
        <v/>
      </c>
      <c r="H56" s="284" t="n"/>
    </row>
    <row r="57">
      <c r="A57" s="294" t="n"/>
      <c r="B57" s="294" t="n"/>
      <c r="C57" s="295" t="n"/>
      <c r="D57" s="294" t="n"/>
      <c r="E57" s="160" t="n"/>
      <c r="F57" s="289" t="n"/>
      <c r="G57" s="284">
        <f>D57-E57+F57</f>
        <v/>
      </c>
      <c r="H57" s="284" t="n"/>
    </row>
    <row r="58">
      <c r="A58" s="312" t="n">
        <v>400</v>
      </c>
      <c r="B58" s="313" t="n">
        <v>4000</v>
      </c>
      <c r="C58" s="314" t="inlineStr">
        <is>
          <t>הון מניות</t>
        </is>
      </c>
      <c r="D58" s="315" t="n"/>
      <c r="E58" s="316" t="n">
        <v>100</v>
      </c>
      <c r="F58" s="289" t="n"/>
      <c r="G58" s="284">
        <f>D58-E58+F58</f>
        <v/>
      </c>
      <c r="H58" s="284" t="n"/>
    </row>
    <row r="59">
      <c r="A59" s="330" t="n">
        <v>450</v>
      </c>
      <c r="B59" s="331" t="n">
        <v>4500</v>
      </c>
      <c r="C59" s="216" t="inlineStr">
        <is>
          <t>חשבון רווח/הפסד</t>
        </is>
      </c>
      <c r="D59" s="219" t="n"/>
      <c r="E59" s="344" t="n">
        <v>1138267.67</v>
      </c>
      <c r="F59" s="289" t="n"/>
      <c r="G59" s="284">
        <f>D59-E59+F59</f>
        <v/>
      </c>
      <c r="H59" s="284" t="n"/>
    </row>
    <row r="60">
      <c r="A60" s="317" t="n"/>
      <c r="B60" s="317" t="n"/>
      <c r="C60" s="317" t="n"/>
      <c r="D60" s="317" t="n"/>
      <c r="E60" s="317" t="n"/>
      <c r="F60" s="317" t="n"/>
      <c r="G60" s="284">
        <f>D60-E60+F60</f>
        <v/>
      </c>
      <c r="H60" s="284" t="n"/>
    </row>
    <row r="61">
      <c r="A61" s="317" t="n"/>
      <c r="B61" s="317" t="n"/>
      <c r="C61" s="317" t="n"/>
      <c r="D61" s="317" t="n"/>
      <c r="E61" s="317" t="n"/>
      <c r="F61" s="317" t="n"/>
      <c r="G61" s="284">
        <f>D61-E61+F61</f>
        <v/>
      </c>
      <c r="H61" s="284" t="n"/>
    </row>
    <row r="62">
      <c r="A62" s="330" t="n">
        <v>600</v>
      </c>
      <c r="B62" s="331" t="n">
        <v>6005</v>
      </c>
      <c r="C62" s="216" t="inlineStr">
        <is>
          <t>הכנסות משיפוצים</t>
        </is>
      </c>
      <c r="D62" s="219" t="n"/>
      <c r="E62" s="333" t="n">
        <v>172054.7</v>
      </c>
      <c r="F62" s="317" t="n"/>
      <c r="G62" s="284">
        <f>D62-E62+F62</f>
        <v/>
      </c>
      <c r="H62" s="284" t="n"/>
    </row>
    <row r="63">
      <c r="A63" s="330" t="n">
        <v>600</v>
      </c>
      <c r="B63" s="331" t="n">
        <v>6008</v>
      </c>
      <c r="C63" s="216" t="inlineStr">
        <is>
          <t>הכנסות מניקוי אוניות פחם - חברת החשמל</t>
        </is>
      </c>
      <c r="D63" s="219" t="n"/>
      <c r="E63" s="333" t="n">
        <v>488198.28</v>
      </c>
      <c r="F63" s="289" t="n"/>
      <c r="G63" s="284">
        <f>D63-E63+F63</f>
        <v/>
      </c>
      <c r="H63" s="284" t="n"/>
    </row>
    <row r="64">
      <c r="A64" s="330" t="n">
        <v>600</v>
      </c>
      <c r="B64" s="331" t="n">
        <v>6010</v>
      </c>
      <c r="C64" s="216" t="inlineStr">
        <is>
          <t>הכנסות - החברה הלאומית לאספקת פחם</t>
        </is>
      </c>
      <c r="D64" s="219" t="n"/>
      <c r="E64" s="332" t="n">
        <v>83200</v>
      </c>
      <c r="F64" s="289" t="n"/>
      <c r="G64" s="284">
        <f>D64-E64+F64</f>
        <v/>
      </c>
      <c r="H64" s="284">
        <f>SUM(G62:G64)</f>
        <v/>
      </c>
      <c r="I64" s="298" t="inlineStr">
        <is>
          <t>לתקן מקדמות מס הכנסה</t>
        </is>
      </c>
    </row>
    <row r="65" customFormat="1" s="298">
      <c r="A65" s="290" t="n"/>
      <c r="B65" s="291" t="n"/>
      <c r="C65" s="292" t="n"/>
      <c r="D65" s="304" t="n"/>
      <c r="E65" s="318" t="n"/>
      <c r="F65" s="289" t="n"/>
      <c r="G65" s="284" t="n"/>
      <c r="H65" s="284" t="n"/>
    </row>
    <row r="66">
      <c r="A66" s="330" t="n">
        <v>650</v>
      </c>
      <c r="B66" s="331" t="n">
        <v>6500</v>
      </c>
      <c r="C66" s="216" t="inlineStr">
        <is>
          <t>קניות</t>
        </is>
      </c>
      <c r="D66" s="333" t="n">
        <v>115903.38</v>
      </c>
      <c r="E66" s="294" t="n"/>
      <c r="F66" s="289" t="n"/>
      <c r="G66" s="284">
        <f>D66-E66+F66</f>
        <v/>
      </c>
      <c r="H66" s="284" t="n"/>
    </row>
    <row r="67">
      <c r="A67" s="330" t="n">
        <v>660</v>
      </c>
      <c r="B67" s="331" t="n">
        <v>6600</v>
      </c>
      <c r="C67" s="216" t="inlineStr">
        <is>
          <t>קבלני משנה</t>
        </is>
      </c>
      <c r="D67" s="332" t="n">
        <v>16000</v>
      </c>
      <c r="E67" s="294" t="n"/>
      <c r="F67" s="289" t="n"/>
      <c r="G67" s="284">
        <f>D67-E67+F67</f>
        <v/>
      </c>
      <c r="H67" s="284" t="n"/>
    </row>
    <row r="68">
      <c r="A68" s="336" t="n">
        <v>660</v>
      </c>
      <c r="B68" s="337" t="n">
        <v>6605</v>
      </c>
      <c r="C68" s="338" t="inlineStr">
        <is>
          <t>פינוי פסולת</t>
        </is>
      </c>
      <c r="D68" s="339" t="n"/>
      <c r="E68" s="294" t="n"/>
      <c r="F68" s="289" t="n"/>
      <c r="G68" s="284">
        <f>D68-E68+F68</f>
        <v/>
      </c>
      <c r="H68" s="284" t="n"/>
    </row>
    <row r="69">
      <c r="A69" s="341" t="n">
        <v>730</v>
      </c>
      <c r="B69" s="342" t="n">
        <v>7301</v>
      </c>
      <c r="C69" s="229" t="inlineStr">
        <is>
          <t>כלי עבודה</t>
        </is>
      </c>
      <c r="D69" s="343" t="n"/>
      <c r="E69" s="294" t="n"/>
      <c r="F69" s="289" t="n"/>
      <c r="G69" s="284">
        <f>D69-E69+F69</f>
        <v/>
      </c>
      <c r="H69" s="284">
        <f>SUM(G66:G69)</f>
        <v/>
      </c>
    </row>
    <row r="70">
      <c r="A70" s="300" t="n"/>
      <c r="B70" s="300" t="n"/>
      <c r="C70" s="302" t="n"/>
      <c r="D70" s="170" t="n"/>
      <c r="E70" s="294" t="n"/>
      <c r="F70" s="289" t="n"/>
      <c r="G70" s="284">
        <f>D70-E70+F70</f>
        <v/>
      </c>
      <c r="H70" s="284" t="n"/>
    </row>
    <row r="71">
      <c r="A71" s="330" t="n">
        <v>670</v>
      </c>
      <c r="B71" s="331" t="n">
        <v>6700</v>
      </c>
      <c r="C71" s="216" t="inlineStr">
        <is>
          <t>מלאי פתיחה רווח והפסד</t>
        </is>
      </c>
      <c r="D71" s="332" t="n">
        <v>17650</v>
      </c>
      <c r="E71" s="300" t="n"/>
      <c r="F71" s="294" t="n"/>
      <c r="G71" s="284">
        <f>D71-E71+F71</f>
        <v/>
      </c>
      <c r="H71" s="284" t="n"/>
    </row>
    <row r="72">
      <c r="A72" s="320" t="n">
        <v>720</v>
      </c>
      <c r="B72" s="321" t="n">
        <v>6800</v>
      </c>
      <c r="C72" s="164" t="inlineStr">
        <is>
          <t>מלאי  סגירה רווח והפסד</t>
        </is>
      </c>
      <c r="D72" s="165" t="n"/>
      <c r="E72" s="322" t="n"/>
      <c r="F72" s="294" t="n">
        <v>-27815</v>
      </c>
      <c r="G72" s="284">
        <f>D72-E72+F72</f>
        <v/>
      </c>
      <c r="H72" s="284">
        <f>SUM(G71:G72)</f>
        <v/>
      </c>
    </row>
    <row r="73">
      <c r="A73" s="317" t="n"/>
      <c r="B73" s="294" t="n"/>
      <c r="C73" s="295" t="n"/>
      <c r="D73" s="294" t="n"/>
      <c r="E73" s="294" t="n"/>
      <c r="F73" s="294" t="n"/>
      <c r="G73" s="284">
        <f>D73-E73+F73</f>
        <v/>
      </c>
      <c r="H73" s="284" t="n"/>
    </row>
    <row r="74">
      <c r="A74" s="330" t="n">
        <v>700</v>
      </c>
      <c r="B74" s="331" t="n">
        <v>7000</v>
      </c>
      <c r="C74" s="216" t="inlineStr">
        <is>
          <t>שכר עבודה</t>
        </is>
      </c>
      <c r="D74" s="333" t="n">
        <v>430038</v>
      </c>
      <c r="E74" s="219" t="n"/>
      <c r="F74" s="289" t="n"/>
      <c r="G74" s="284">
        <f>D74-E74+F74</f>
        <v/>
      </c>
      <c r="H74" s="284" t="n"/>
    </row>
    <row r="75">
      <c r="A75" s="330" t="n">
        <v>700</v>
      </c>
      <c r="B75" s="331" t="n">
        <v>7001</v>
      </c>
      <c r="C75" s="216" t="inlineStr">
        <is>
          <t>סוציאליות</t>
        </is>
      </c>
      <c r="D75" s="332" t="n">
        <v>18188</v>
      </c>
      <c r="E75" s="219" t="n"/>
      <c r="F75" s="289" t="n"/>
      <c r="G75" s="284">
        <f>D75-E75+F75</f>
        <v/>
      </c>
      <c r="H75" s="284" t="n"/>
      <c r="J75" s="298">
        <f>SUM(G63:G111)</f>
        <v/>
      </c>
    </row>
    <row r="76">
      <c r="A76" s="330" t="n">
        <v>700</v>
      </c>
      <c r="B76" s="331" t="n">
        <v>7002</v>
      </c>
      <c r="C76" s="216" t="inlineStr">
        <is>
          <t>גמל מעביד</t>
        </is>
      </c>
      <c r="D76" s="332" t="n">
        <v>19079</v>
      </c>
      <c r="E76" s="219" t="n"/>
      <c r="F76" s="289" t="n"/>
      <c r="G76" s="284">
        <f>D76-E76+F76</f>
        <v/>
      </c>
      <c r="H76" s="284" t="n"/>
    </row>
    <row r="77">
      <c r="A77" s="330" t="n">
        <v>700</v>
      </c>
      <c r="B77" s="331" t="n">
        <v>7006</v>
      </c>
      <c r="C77" s="216" t="inlineStr">
        <is>
          <t>הוצ גמל פיצויים</t>
        </is>
      </c>
      <c r="D77" s="332" t="n">
        <v>22697</v>
      </c>
      <c r="E77" s="219" t="n"/>
      <c r="F77" s="289" t="n"/>
      <c r="G77" s="284">
        <f>D77-E77+F77</f>
        <v/>
      </c>
      <c r="H77" s="284" t="n"/>
    </row>
    <row r="78">
      <c r="A78" s="330" t="n">
        <v>700</v>
      </c>
      <c r="B78" s="331" t="n">
        <v>7010</v>
      </c>
      <c r="C78" s="216" t="inlineStr">
        <is>
          <t>הכנסות זקופות</t>
        </is>
      </c>
      <c r="D78" s="219" t="n"/>
      <c r="E78" s="334" t="n">
        <v>5026</v>
      </c>
      <c r="F78" s="289" t="n"/>
      <c r="G78" s="284">
        <f>D78-E78+F78</f>
        <v/>
      </c>
      <c r="H78" s="284" t="n"/>
    </row>
    <row r="79">
      <c r="A79" s="330" t="n">
        <v>700</v>
      </c>
      <c r="B79" s="331" t="n">
        <v>7020</v>
      </c>
      <c r="C79" s="216" t="inlineStr">
        <is>
          <t>הוצאות פיצויים (בתלוש)</t>
        </is>
      </c>
      <c r="D79" s="332" t="n">
        <v>11754</v>
      </c>
      <c r="E79" s="219" t="n"/>
      <c r="F79" s="289" t="n"/>
      <c r="G79" s="284">
        <f>D79-E79+F79</f>
        <v/>
      </c>
      <c r="H79" s="284" t="n"/>
    </row>
    <row r="80">
      <c r="A80" s="290" t="n"/>
      <c r="B80" s="291" t="n"/>
      <c r="C80" s="292" t="n"/>
      <c r="D80" s="323" t="n"/>
      <c r="E80" s="294" t="n"/>
      <c r="F80" s="289" t="n"/>
      <c r="G80" s="284">
        <f>D80-E80+F80</f>
        <v/>
      </c>
      <c r="H80" s="284">
        <f>SUM(G74:G80)</f>
        <v/>
      </c>
    </row>
    <row r="81">
      <c r="A81" s="294" t="n"/>
      <c r="B81" s="294" t="n"/>
      <c r="C81" s="295" t="n"/>
      <c r="D81" s="160" t="n"/>
      <c r="E81" s="294" t="n"/>
      <c r="F81" s="289" t="n"/>
      <c r="G81" s="284">
        <f>D81-E81+F81</f>
        <v/>
      </c>
      <c r="H81" s="284" t="n"/>
    </row>
    <row r="82">
      <c r="A82" s="285" t="n">
        <v>720</v>
      </c>
      <c r="B82" s="286" t="n">
        <v>7251</v>
      </c>
      <c r="C82" s="206" t="inlineStr">
        <is>
          <t>השתלמויות וקורסים</t>
        </is>
      </c>
      <c r="D82" s="299" t="n"/>
      <c r="E82" s="300" t="n"/>
      <c r="F82" s="289" t="n"/>
      <c r="G82" s="284">
        <f>D82-E82+F82</f>
        <v/>
      </c>
      <c r="H82" s="284" t="n"/>
    </row>
    <row r="83">
      <c r="A83" s="330" t="n">
        <v>720</v>
      </c>
      <c r="B83" s="331" t="n">
        <v>7200</v>
      </c>
      <c r="C83" s="216" t="inlineStr">
        <is>
          <t>משרדיות</t>
        </is>
      </c>
      <c r="D83" s="334" t="n">
        <v>1015.21</v>
      </c>
      <c r="E83" s="300" t="n"/>
      <c r="F83" s="289" t="n"/>
      <c r="G83" s="284">
        <f>D83-E83+F83</f>
        <v/>
      </c>
      <c r="H83" s="284">
        <f>SUM(G82:G83)</f>
        <v/>
      </c>
    </row>
    <row r="84">
      <c r="A84" s="294" t="n"/>
      <c r="B84" s="294" t="n"/>
      <c r="C84" s="295" t="n"/>
      <c r="D84" s="160" t="n"/>
      <c r="E84" s="300" t="n"/>
      <c r="F84" s="289" t="n"/>
      <c r="G84" s="284" t="n"/>
      <c r="H84" s="284" t="n"/>
    </row>
    <row r="85">
      <c r="A85" s="330" t="n">
        <v>720</v>
      </c>
      <c r="B85" s="331" t="n">
        <v>7204</v>
      </c>
      <c r="C85" s="216" t="inlineStr">
        <is>
          <t>אגרות</t>
        </is>
      </c>
      <c r="D85" s="334" t="n">
        <v>1133</v>
      </c>
      <c r="E85" s="300" t="n"/>
      <c r="F85" s="289" t="n"/>
      <c r="G85" s="284">
        <f>D85-E85+F85</f>
        <v/>
      </c>
      <c r="H85" s="284">
        <f>SUM(G83:G85)</f>
        <v/>
      </c>
    </row>
    <row r="86">
      <c r="A86" s="317" t="n"/>
      <c r="B86" s="317" t="n"/>
      <c r="C86" s="317" t="n"/>
      <c r="D86" s="317" t="n"/>
      <c r="E86" s="317" t="n"/>
      <c r="F86" s="317" t="n"/>
      <c r="G86" s="284">
        <f>D86-E86+F86</f>
        <v/>
      </c>
      <c r="H86" s="284" t="n"/>
    </row>
    <row r="87">
      <c r="A87" s="285" t="n">
        <v>720</v>
      </c>
      <c r="B87" s="286" t="n">
        <v>7206</v>
      </c>
      <c r="C87" s="206" t="inlineStr">
        <is>
          <t>שכ"ט ומשפטיות</t>
        </is>
      </c>
      <c r="D87" s="299" t="n"/>
      <c r="E87" s="300" t="n"/>
      <c r="F87" s="289" t="n"/>
      <c r="G87" s="284">
        <f>D87-E87+F87</f>
        <v/>
      </c>
      <c r="H87" s="284" t="n"/>
    </row>
    <row r="88">
      <c r="A88" s="330" t="n">
        <v>720</v>
      </c>
      <c r="B88" s="331" t="n">
        <v>7250</v>
      </c>
      <c r="C88" s="216" t="inlineStr">
        <is>
          <t>הנהח וביקורת</t>
        </is>
      </c>
      <c r="D88" s="334" t="n">
        <v>6837.61</v>
      </c>
      <c r="E88" s="300" t="n"/>
      <c r="F88" s="289" t="n"/>
      <c r="G88" s="284">
        <f>D88-E88+F88</f>
        <v/>
      </c>
      <c r="H88" s="284">
        <f>SUM(G87:G88)</f>
        <v/>
      </c>
    </row>
    <row r="89">
      <c r="A89" s="300" t="n"/>
      <c r="B89" s="300" t="n"/>
      <c r="C89" s="300" t="n"/>
      <c r="D89" s="300" t="n"/>
      <c r="E89" s="300" t="n"/>
      <c r="F89" s="289" t="n"/>
      <c r="G89" s="284">
        <f>D89-E89+F89</f>
        <v/>
      </c>
      <c r="H89" s="284" t="n"/>
    </row>
    <row r="90">
      <c r="A90" s="330" t="n">
        <v>720</v>
      </c>
      <c r="B90" s="331" t="n">
        <v>7210</v>
      </c>
      <c r="C90" s="216" t="inlineStr">
        <is>
          <t>טלפון ותקשורת</t>
        </is>
      </c>
      <c r="D90" s="334" t="n">
        <v>3326.97</v>
      </c>
      <c r="E90" s="300" t="n"/>
      <c r="F90" s="289" t="n"/>
      <c r="G90" s="284">
        <f>D90-E90+F90</f>
        <v/>
      </c>
      <c r="H90" s="284" t="n"/>
    </row>
    <row r="91">
      <c r="A91" s="300" t="n"/>
      <c r="B91" s="300" t="n"/>
      <c r="C91" s="300" t="n"/>
      <c r="D91" s="300" t="n"/>
      <c r="E91" s="300" t="n"/>
      <c r="F91" s="289" t="n"/>
      <c r="G91" s="284">
        <f>D91-E91+F91</f>
        <v/>
      </c>
      <c r="H91" s="284" t="n"/>
    </row>
    <row r="92">
      <c r="A92" s="320" t="n">
        <v>730</v>
      </c>
      <c r="B92" s="321" t="n">
        <v>7302</v>
      </c>
      <c r="C92" s="164" t="inlineStr">
        <is>
          <t>הובלות</t>
        </is>
      </c>
      <c r="D92" s="325" t="n"/>
      <c r="E92" s="300" t="n"/>
      <c r="F92" s="289" t="n"/>
      <c r="G92" s="284">
        <f>D92-E92+F92</f>
        <v/>
      </c>
      <c r="H92" s="284" t="n"/>
    </row>
    <row r="93">
      <c r="A93" s="300" t="n"/>
      <c r="B93" s="300" t="n"/>
      <c r="C93" s="300" t="n"/>
      <c r="D93" s="300" t="n"/>
      <c r="E93" s="300" t="n"/>
      <c r="F93" s="289" t="n"/>
      <c r="G93" s="284">
        <f>D93-E93+F93</f>
        <v/>
      </c>
      <c r="H93" s="284" t="n"/>
    </row>
    <row r="94">
      <c r="A94" s="330" t="n">
        <v>720</v>
      </c>
      <c r="B94" s="331" t="n">
        <v>7201</v>
      </c>
      <c r="C94" s="216" t="inlineStr">
        <is>
          <t>ביטוחים</t>
        </is>
      </c>
      <c r="D94" s="332" t="n">
        <v>29057</v>
      </c>
      <c r="E94" s="300" t="n"/>
      <c r="F94" s="289" t="n"/>
      <c r="G94" s="284">
        <f>D94-E94+F94</f>
        <v/>
      </c>
      <c r="H94" s="284" t="n"/>
    </row>
    <row r="95">
      <c r="A95" s="300" t="n">
        <v>720</v>
      </c>
      <c r="B95" s="300" t="n">
        <v>7251</v>
      </c>
      <c r="C95" s="302" t="inlineStr">
        <is>
          <t>השתלמויות וקורסים</t>
        </is>
      </c>
      <c r="D95" s="170" t="n"/>
      <c r="E95" s="300" t="n"/>
      <c r="F95" s="289" t="n"/>
      <c r="G95" s="284">
        <f>D95-E95+F95</f>
        <v/>
      </c>
      <c r="H95" s="284" t="n"/>
    </row>
    <row r="96">
      <c r="A96" s="320" t="n">
        <v>720</v>
      </c>
      <c r="B96" s="321" t="n">
        <v>7207</v>
      </c>
      <c r="C96" s="164" t="inlineStr">
        <is>
          <t>בטיחות בעבודה</t>
        </is>
      </c>
      <c r="D96" s="325" t="n"/>
      <c r="E96" s="300" t="n"/>
      <c r="F96" s="289" t="n"/>
      <c r="G96" s="284">
        <f>D96-E96+F96</f>
        <v/>
      </c>
      <c r="H96" s="284" t="n"/>
    </row>
    <row r="97">
      <c r="A97" s="330" t="n">
        <v>730</v>
      </c>
      <c r="B97" s="331" t="n">
        <v>7300</v>
      </c>
      <c r="C97" s="216" t="inlineStr">
        <is>
          <t>אחזקה ותיקונים - ציוד</t>
        </is>
      </c>
      <c r="D97" s="335" t="n">
        <v>641.03</v>
      </c>
      <c r="E97" s="300" t="n"/>
      <c r="F97" s="289" t="n"/>
      <c r="G97" s="284">
        <f>D97-E97+F97</f>
        <v/>
      </c>
      <c r="H97" s="284">
        <f>SUM(G96:G97)</f>
        <v/>
      </c>
    </row>
    <row r="98">
      <c r="A98" s="294" t="n">
        <v>750</v>
      </c>
      <c r="B98" s="294" t="n">
        <v>7500</v>
      </c>
      <c r="C98" s="295" t="inlineStr">
        <is>
          <t>הוצאות פחת</t>
        </is>
      </c>
      <c r="D98" s="160" t="n"/>
      <c r="E98" s="294" t="n"/>
      <c r="F98" s="289" t="n">
        <v>17644</v>
      </c>
      <c r="G98" s="284">
        <f>D98-E98+F98</f>
        <v/>
      </c>
      <c r="H98" s="284" t="n"/>
    </row>
    <row r="99">
      <c r="A99" s="294" t="n"/>
      <c r="B99" s="294" t="n"/>
      <c r="C99" s="295" t="n"/>
      <c r="D99" s="160" t="n"/>
      <c r="E99" s="294" t="n"/>
      <c r="F99" s="289" t="n"/>
      <c r="G99" s="284">
        <f>D99-E99+F99</f>
        <v/>
      </c>
      <c r="H99" s="284" t="n"/>
    </row>
    <row r="100">
      <c r="A100" s="330" t="n">
        <v>760</v>
      </c>
      <c r="B100" s="331" t="n">
        <v>7600</v>
      </c>
      <c r="C100" s="216" t="inlineStr">
        <is>
          <t>24-388-73  יונדאי דלק    (10.2016)</t>
        </is>
      </c>
      <c r="D100" s="332" t="n">
        <v>20370.35</v>
      </c>
      <c r="E100" s="294" t="n"/>
      <c r="F100" s="289" t="n"/>
      <c r="G100" s="284">
        <f>D100-E100+F100</f>
        <v/>
      </c>
      <c r="H100" s="284" t="n"/>
    </row>
    <row r="101">
      <c r="A101" s="330" t="n">
        <v>760</v>
      </c>
      <c r="B101" s="331" t="n">
        <v>7601</v>
      </c>
      <c r="C101" s="216" t="inlineStr">
        <is>
          <t>24-388-73  יונדאי הוצ שוטפות    (10.2016)</t>
        </is>
      </c>
      <c r="D101" s="335" t="n">
        <v>628.6</v>
      </c>
      <c r="E101" s="294" t="n"/>
      <c r="F101" s="289" t="n"/>
      <c r="G101" s="284">
        <f>D101-E101+F101</f>
        <v/>
      </c>
      <c r="H101" s="284" t="n"/>
    </row>
    <row r="102">
      <c r="A102" s="330" t="n">
        <v>760</v>
      </c>
      <c r="B102" s="331" t="n">
        <v>7602</v>
      </c>
      <c r="C102" s="216" t="inlineStr">
        <is>
          <t>24-388-73  יונדאי ביטוחים    (10.2016)</t>
        </is>
      </c>
      <c r="D102" s="334" t="n">
        <v>4405</v>
      </c>
      <c r="E102" s="294" t="n"/>
      <c r="F102" s="289" t="n"/>
      <c r="G102" s="284">
        <f>D102-E102+F102</f>
        <v/>
      </c>
      <c r="H102" s="284">
        <f>SUM(G100:G102)</f>
        <v/>
      </c>
    </row>
    <row r="103">
      <c r="A103" s="300" t="n"/>
      <c r="B103" s="300" t="n"/>
      <c r="C103" s="302" t="n"/>
      <c r="D103" s="170" t="n"/>
      <c r="E103" s="300" t="n"/>
      <c r="F103" s="289" t="n"/>
      <c r="G103" s="284">
        <f>D103-E103+F103</f>
        <v/>
      </c>
      <c r="H103" s="284" t="n"/>
    </row>
    <row r="104">
      <c r="A104" s="307" t="n">
        <v>720</v>
      </c>
      <c r="B104" s="308" t="n">
        <v>7455</v>
      </c>
      <c r="C104" s="309" t="inlineStr">
        <is>
          <t>הוצאות דיבידנד</t>
        </is>
      </c>
      <c r="D104" s="326" t="n"/>
      <c r="E104" s="300" t="n"/>
      <c r="F104" s="289" t="n"/>
      <c r="G104" s="284">
        <f>D104-E104+F104</f>
        <v/>
      </c>
      <c r="H104" s="284" t="n"/>
    </row>
    <row r="105">
      <c r="A105" s="300" t="n"/>
      <c r="B105" s="300" t="n"/>
      <c r="C105" s="302" t="inlineStr">
        <is>
          <t>הפסד הון</t>
        </is>
      </c>
      <c r="D105" s="170" t="n"/>
      <c r="E105" s="300" t="n"/>
      <c r="F105" s="289" t="n"/>
      <c r="G105" s="284">
        <f>D105-E105+F105</f>
        <v/>
      </c>
      <c r="H105" s="284" t="n"/>
    </row>
    <row r="106">
      <c r="A106" s="300" t="n"/>
      <c r="B106" s="300" t="n"/>
      <c r="C106" s="302" t="n"/>
      <c r="D106" s="170" t="n"/>
      <c r="E106" s="300" t="n"/>
      <c r="F106" s="289" t="n"/>
      <c r="G106" s="284" t="n"/>
      <c r="H106" s="284" t="n"/>
    </row>
    <row r="107">
      <c r="A107" s="330" t="n">
        <v>790</v>
      </c>
      <c r="B107" s="331" t="n">
        <v>7900</v>
      </c>
      <c r="C107" s="216" t="inlineStr">
        <is>
          <t>ריבית ועמלות בנק</t>
        </is>
      </c>
      <c r="D107" s="334" t="n">
        <v>2536.37</v>
      </c>
      <c r="E107" s="219" t="n"/>
      <c r="F107" s="289" t="n"/>
      <c r="G107" s="284">
        <f>D107-E107+F107</f>
        <v/>
      </c>
      <c r="H107" s="284" t="n"/>
    </row>
    <row r="108">
      <c r="A108" s="330" t="n">
        <v>790</v>
      </c>
      <c r="B108" s="331" t="n">
        <v>7920</v>
      </c>
      <c r="C108" s="216" t="inlineStr">
        <is>
          <t>ריבית מס הכנסה</t>
        </is>
      </c>
      <c r="D108" s="219" t="n"/>
      <c r="E108" s="335" t="n">
        <v>777</v>
      </c>
      <c r="F108" s="289" t="n"/>
      <c r="G108" s="284">
        <f>D108-E108+F108</f>
        <v/>
      </c>
      <c r="H108" s="284" t="n"/>
    </row>
    <row r="109">
      <c r="A109" s="330" t="n">
        <v>790</v>
      </c>
      <c r="B109" s="331" t="n">
        <v>7950</v>
      </c>
      <c r="C109" s="216" t="inlineStr">
        <is>
          <t>ריבית פקדון</t>
        </is>
      </c>
      <c r="D109" s="219" t="n"/>
      <c r="E109" s="335" t="n">
        <v>118.59</v>
      </c>
      <c r="F109" s="289" t="n"/>
      <c r="G109" s="284">
        <f>D109-E109+F109</f>
        <v/>
      </c>
      <c r="H109" s="284" t="n"/>
    </row>
    <row r="110">
      <c r="A110" s="330" t="n">
        <v>790</v>
      </c>
      <c r="B110" s="331" t="n">
        <v>7999</v>
      </c>
      <c r="C110" s="216" t="inlineStr">
        <is>
          <t>ביטול ייתרות</t>
        </is>
      </c>
      <c r="D110" s="345" t="n">
        <v>14.71</v>
      </c>
      <c r="E110" s="219" t="n"/>
      <c r="F110" s="289" t="n"/>
      <c r="G110" s="284">
        <f>D110-E110+F110</f>
        <v/>
      </c>
      <c r="H110" s="284" t="n"/>
    </row>
    <row r="111">
      <c r="A111" s="320" t="n"/>
      <c r="B111" s="321" t="n"/>
      <c r="C111" s="164" t="n"/>
      <c r="D111" s="327" t="n"/>
      <c r="E111" s="165" t="n"/>
      <c r="F111" s="289" t="n"/>
      <c r="G111" s="284">
        <f>D111-E111+F111</f>
        <v/>
      </c>
      <c r="H111" s="284">
        <f>SUM(G107:G110)</f>
        <v/>
      </c>
    </row>
    <row r="112">
      <c r="A112" s="320" t="n"/>
      <c r="B112" s="321" t="n"/>
      <c r="C112" s="164" t="n"/>
      <c r="D112" s="327" t="n"/>
      <c r="E112" s="165" t="n"/>
      <c r="F112" s="296" t="n"/>
      <c r="G112" s="284">
        <f>D112-E112+F112</f>
        <v/>
      </c>
      <c r="H112" s="283" t="n"/>
    </row>
    <row r="113">
      <c r="A113" s="328" t="n"/>
      <c r="B113" s="328" t="n"/>
      <c r="C113" s="329" t="n"/>
      <c r="D113" s="328">
        <f>SUM(D3:D111)</f>
        <v/>
      </c>
      <c r="E113" s="328">
        <f>SUM(E5:E111)</f>
        <v/>
      </c>
      <c r="F113" s="328">
        <f>SUM(F5:F112)</f>
        <v/>
      </c>
      <c r="G113" s="328">
        <f>SUM(G4:G112)</f>
        <v/>
      </c>
      <c r="H113" s="283" t="n"/>
    </row>
    <row r="114">
      <c r="A114" s="296" t="n"/>
      <c r="B114" s="296" t="n"/>
      <c r="C114" s="296" t="n"/>
      <c r="D114" s="296" t="n"/>
      <c r="E114" s="296" t="n"/>
      <c r="F114" s="296" t="n"/>
      <c r="G114" s="296" t="n"/>
    </row>
    <row r="115">
      <c r="A115" s="296" t="n"/>
      <c r="B115" s="296" t="n"/>
      <c r="C115" s="296" t="n"/>
      <c r="D115" s="296" t="n"/>
      <c r="E115" s="296" t="n"/>
      <c r="F115" s="296" t="n"/>
      <c r="G115" s="296" t="n"/>
    </row>
    <row r="116">
      <c r="A116" s="296" t="n"/>
      <c r="B116" s="296" t="n"/>
      <c r="C116" s="296" t="n"/>
      <c r="D116" s="296" t="n"/>
      <c r="E116" s="296" t="n"/>
      <c r="F116" s="296" t="n"/>
      <c r="G116" s="296"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A133" s="296" t="n"/>
      <c r="B133" s="296" t="n"/>
      <c r="C133" s="296" t="n"/>
      <c r="D133" s="296" t="n"/>
      <c r="E133" s="296" t="n"/>
      <c r="F133" s="296" t="n"/>
      <c r="G133" s="296" t="n"/>
    </row>
    <row r="134">
      <c r="G134" s="298" t="n"/>
    </row>
    <row r="135">
      <c r="G135" s="298" t="n"/>
    </row>
    <row r="136">
      <c r="G136" s="298"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row r="386">
      <c r="G386" s="29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90"/>
  <sheetViews>
    <sheetView rightToLeft="1" topLeftCell="A64" workbookViewId="0">
      <selection activeCell="B75" sqref="B75:E75"/>
    </sheetView>
  </sheetViews>
  <sheetFormatPr baseColWidth="10" defaultRowHeight="16"/>
  <cols>
    <col width="18.3984375" customWidth="1" style="282" min="1" max="1"/>
    <col width="9" customWidth="1" style="282" min="2" max="3"/>
    <col width="32" bestFit="1" customWidth="1" style="282" min="4" max="4"/>
    <col width="11.19921875" bestFit="1" customWidth="1" style="282" min="5" max="6"/>
    <col width="15.19921875" bestFit="1" customWidth="1" style="282" min="7" max="7"/>
    <col width="9" customWidth="1" style="282" min="8" max="256"/>
  </cols>
  <sheetData>
    <row r="1">
      <c r="A1" s="185" t="inlineStr">
        <is>
          <t>מירון ראובן עבודות ציבוריות בע"מ                                  ע.מ. 513831529</t>
        </is>
      </c>
      <c r="B1" s="230" t="n"/>
      <c r="C1" s="230" t="n"/>
      <c r="D1" s="230" t="n"/>
      <c r="E1" s="230" t="n"/>
      <c r="F1" s="230" t="n"/>
      <c r="G1" s="230" t="n"/>
    </row>
    <row r="2" ht="20" customHeight="1" s="282">
      <c r="A2" s="187" t="inlineStr">
        <is>
          <t>מאזן בוחן</t>
        </is>
      </c>
      <c r="B2" s="230" t="n"/>
      <c r="C2" s="230" t="n"/>
      <c r="D2" s="230" t="n"/>
      <c r="E2" s="230" t="n"/>
      <c r="F2" s="230" t="n"/>
      <c r="G2" s="186" t="inlineStr">
        <is>
          <t>16/11/2021 16:13:34</t>
        </is>
      </c>
    </row>
    <row r="3">
      <c r="A3" s="189" t="inlineStr">
        <is>
          <t>ת.אסמכתא בין 31/12/20-01/01/80 ת.ערך בין 31/12/29-01/01/80 ת.נוסף 3 בין 31/12/29-01/01/80</t>
        </is>
      </c>
      <c r="B3" s="230" t="n"/>
      <c r="C3" s="230" t="n"/>
      <c r="D3" s="230" t="n"/>
      <c r="E3" s="230" t="n"/>
      <c r="F3" s="230" t="n"/>
      <c r="G3" s="230" t="n"/>
    </row>
    <row r="4">
      <c r="A4" s="230" t="n"/>
      <c r="B4" s="190" t="inlineStr">
        <is>
          <t>מיון</t>
        </is>
      </c>
      <c r="C4" s="190" t="inlineStr">
        <is>
          <t>חשבון</t>
        </is>
      </c>
      <c r="D4" s="190" t="inlineStr">
        <is>
          <t>שם חשבון</t>
        </is>
      </c>
      <c r="E4" s="190" t="inlineStr">
        <is>
          <t>חובה</t>
        </is>
      </c>
      <c r="F4" s="190" t="inlineStr">
        <is>
          <t>זכות</t>
        </is>
      </c>
      <c r="G4" s="190" t="inlineStr">
        <is>
          <t>הפרש</t>
        </is>
      </c>
    </row>
    <row r="5">
      <c r="A5" s="191" t="inlineStr">
        <is>
          <t>קופות</t>
        </is>
      </c>
      <c r="B5" s="230" t="n"/>
      <c r="C5" s="230" t="n"/>
      <c r="D5" s="230" t="n"/>
      <c r="E5" s="230" t="n"/>
      <c r="F5" s="230" t="n"/>
      <c r="G5" s="230" t="n"/>
    </row>
    <row r="6">
      <c r="A6" s="230" t="n"/>
      <c r="B6" s="285" t="n">
        <v>100</v>
      </c>
      <c r="C6" s="286" t="n">
        <v>1005</v>
      </c>
      <c r="D6" s="206" t="inlineStr">
        <is>
          <t>קופת שקים</t>
        </is>
      </c>
      <c r="E6" s="287" t="n">
        <v>164502</v>
      </c>
      <c r="F6" s="230" t="n"/>
      <c r="G6" s="230" t="n"/>
    </row>
    <row r="7">
      <c r="A7" s="191" t="inlineStr">
        <is>
          <t>אשראי לז"ק</t>
        </is>
      </c>
      <c r="B7" s="230" t="n"/>
      <c r="C7" s="230" t="n"/>
      <c r="D7" s="230" t="n"/>
      <c r="E7" s="230" t="n"/>
      <c r="F7" s="230" t="n"/>
      <c r="G7" s="230" t="n"/>
    </row>
    <row r="8">
      <c r="A8" s="230" t="n"/>
      <c r="B8" s="285" t="n">
        <v>110</v>
      </c>
      <c r="C8" s="346" t="n">
        <v>633</v>
      </c>
      <c r="D8" s="206" t="inlineStr">
        <is>
          <t>633  ישראכרט  עסקי</t>
        </is>
      </c>
      <c r="E8" s="208" t="n"/>
      <c r="F8" s="299" t="n">
        <v>11956</v>
      </c>
      <c r="G8" s="230" t="n"/>
    </row>
    <row r="9">
      <c r="A9" s="230" t="n"/>
      <c r="B9" s="285" t="n">
        <v>110</v>
      </c>
      <c r="C9" s="286" t="n">
        <v>1030</v>
      </c>
      <c r="D9" s="206" t="inlineStr">
        <is>
          <t>פקדון</t>
        </is>
      </c>
      <c r="E9" s="299" t="n">
        <v>52828.56</v>
      </c>
      <c r="F9" s="230" t="n"/>
      <c r="G9" s="230" t="n"/>
    </row>
    <row r="10">
      <c r="A10" s="230" t="n"/>
      <c r="B10" s="285" t="n">
        <v>110</v>
      </c>
      <c r="C10" s="286" t="n">
        <v>1100</v>
      </c>
      <c r="D10" s="206" t="inlineStr">
        <is>
          <t>בנק הפועלים בע"מ</t>
        </is>
      </c>
      <c r="E10" s="287" t="n">
        <v>731991.8100000001</v>
      </c>
      <c r="F10" s="230" t="n"/>
      <c r="G10" s="230" t="n"/>
    </row>
    <row r="11">
      <c r="A11" s="229" t="inlineStr">
        <is>
          <t>סה"כ לקבוצה:</t>
        </is>
      </c>
      <c r="B11" s="341" t="n">
        <v>110</v>
      </c>
      <c r="C11" s="230" t="n"/>
      <c r="D11" s="230" t="n"/>
      <c r="E11" s="347" t="n">
        <v>784820.37</v>
      </c>
      <c r="F11" s="348" t="n">
        <v>11956</v>
      </c>
      <c r="G11" s="349" t="n">
        <v>-772864.37</v>
      </c>
    </row>
    <row r="12">
      <c r="A12" s="229" t="inlineStr">
        <is>
          <t>סה"כ לקבוצה:</t>
        </is>
      </c>
      <c r="B12" s="229" t="inlineStr">
        <is>
          <t>1**</t>
        </is>
      </c>
      <c r="C12" s="230" t="n"/>
      <c r="D12" s="230" t="n"/>
      <c r="E12" s="347" t="n">
        <v>949322.37</v>
      </c>
      <c r="F12" s="348" t="n">
        <v>11956</v>
      </c>
      <c r="G12" s="349" t="n">
        <v>-937366.37</v>
      </c>
    </row>
    <row r="13">
      <c r="A13" s="191" t="inlineStr">
        <is>
          <t>לקוחות</t>
        </is>
      </c>
      <c r="B13" s="230" t="n"/>
      <c r="C13" s="230" t="n"/>
      <c r="D13" s="230" t="n"/>
      <c r="E13" s="230" t="n"/>
      <c r="F13" s="230" t="n"/>
      <c r="G13" s="230" t="n"/>
    </row>
    <row r="14">
      <c r="A14" s="230" t="n"/>
      <c r="B14" s="285" t="n">
        <v>200</v>
      </c>
      <c r="C14" s="286" t="n">
        <v>2040</v>
      </c>
      <c r="D14" s="206" t="inlineStr">
        <is>
          <t>חברת החשמל לישראל בע"מ</t>
        </is>
      </c>
      <c r="E14" s="299" t="n">
        <v>39873</v>
      </c>
      <c r="F14" s="230" t="n"/>
      <c r="G14" s="230" t="n"/>
    </row>
    <row r="15">
      <c r="A15" s="191" t="inlineStr">
        <is>
          <t>פקיד שומה</t>
        </is>
      </c>
      <c r="B15" s="230" t="n"/>
      <c r="C15" s="230" t="n"/>
      <c r="D15" s="230" t="n"/>
      <c r="E15" s="230" t="n"/>
      <c r="F15" s="230" t="n"/>
      <c r="G15" s="230" t="n"/>
    </row>
    <row r="16">
      <c r="A16" s="230" t="n"/>
      <c r="B16" s="285" t="n">
        <v>270</v>
      </c>
      <c r="C16" s="286" t="n">
        <v>2700</v>
      </c>
      <c r="D16" s="206" t="inlineStr">
        <is>
          <t>נכוי במקור - לקוחות</t>
        </is>
      </c>
      <c r="E16" s="299" t="n">
        <v>68433.7</v>
      </c>
      <c r="F16" s="230" t="n"/>
      <c r="G16" s="230" t="n"/>
    </row>
    <row r="17">
      <c r="A17" s="230" t="n"/>
      <c r="B17" s="285" t="n">
        <v>270</v>
      </c>
      <c r="C17" s="286" t="n">
        <v>2744</v>
      </c>
      <c r="D17" s="206" t="inlineStr">
        <is>
          <t>מס הכנסה שנים קודמות</t>
        </is>
      </c>
      <c r="E17" s="301" t="n">
        <v>7575.73</v>
      </c>
      <c r="F17" s="230" t="n"/>
      <c r="G17" s="230" t="n"/>
    </row>
    <row r="18">
      <c r="A18" s="229" t="inlineStr">
        <is>
          <t>סה"כ לקבוצה:</t>
        </is>
      </c>
      <c r="B18" s="341" t="n">
        <v>270</v>
      </c>
      <c r="C18" s="230" t="n"/>
      <c r="D18" s="230" t="n"/>
      <c r="E18" s="348" t="n">
        <v>76009.42999999999</v>
      </c>
      <c r="F18" s="201" t="n">
        <v>0</v>
      </c>
      <c r="G18" s="350" t="n">
        <v>-76009.42999999999</v>
      </c>
    </row>
    <row r="19">
      <c r="A19" s="230" t="n"/>
      <c r="B19" s="285" t="n">
        <v>280</v>
      </c>
      <c r="C19" s="286" t="n">
        <v>2800</v>
      </c>
      <c r="D19" s="206" t="inlineStr">
        <is>
          <t>רכוש קבוע</t>
        </is>
      </c>
      <c r="E19" s="287" t="n">
        <v>181086.98</v>
      </c>
      <c r="F19" s="208" t="n"/>
      <c r="G19" s="230" t="n"/>
    </row>
    <row r="20">
      <c r="A20" s="230" t="n"/>
      <c r="B20" s="285" t="n">
        <v>280</v>
      </c>
      <c r="C20" s="286" t="n">
        <v>2850</v>
      </c>
      <c r="D20" s="206" t="inlineStr">
        <is>
          <t>פחת נצבר</t>
        </is>
      </c>
      <c r="E20" s="208" t="n"/>
      <c r="F20" s="287" t="n">
        <v>134510</v>
      </c>
      <c r="G20" s="230" t="n"/>
    </row>
    <row r="21">
      <c r="A21" s="229" t="inlineStr">
        <is>
          <t>סה"כ לקבוצה:</t>
        </is>
      </c>
      <c r="B21" s="341" t="n">
        <v>280</v>
      </c>
      <c r="C21" s="230" t="n"/>
      <c r="D21" s="230" t="n"/>
      <c r="E21" s="347" t="n">
        <v>181086.98</v>
      </c>
      <c r="F21" s="347" t="n">
        <v>134510</v>
      </c>
      <c r="G21" s="350" t="n">
        <v>-46576.98</v>
      </c>
    </row>
    <row r="22">
      <c r="A22" s="229" t="inlineStr">
        <is>
          <t>סה"כ לקבוצה:</t>
        </is>
      </c>
      <c r="B22" s="229" t="inlineStr">
        <is>
          <t>2**</t>
        </is>
      </c>
      <c r="C22" s="230" t="n"/>
      <c r="D22" s="230" t="n"/>
      <c r="E22" s="347" t="n">
        <v>296969.41</v>
      </c>
      <c r="F22" s="347" t="n">
        <v>134510</v>
      </c>
      <c r="G22" s="349" t="n">
        <v>-162459.41</v>
      </c>
    </row>
    <row r="23">
      <c r="A23" s="191" t="inlineStr">
        <is>
          <t>ספקים</t>
        </is>
      </c>
      <c r="B23" s="230" t="n"/>
      <c r="C23" s="230" t="n"/>
      <c r="D23" s="230" t="n"/>
      <c r="E23" s="230" t="n"/>
      <c r="F23" s="230" t="n"/>
      <c r="G23" s="230" t="n"/>
    </row>
    <row r="24">
      <c r="A24" s="230" t="n"/>
      <c r="B24" s="285" t="n">
        <v>300</v>
      </c>
      <c r="C24" s="286" t="n">
        <v>3004</v>
      </c>
      <c r="D24" s="206" t="inlineStr">
        <is>
          <t>גבס השרון בע"מ</t>
        </is>
      </c>
      <c r="E24" s="208" t="n"/>
      <c r="F24" s="301" t="n">
        <v>4883</v>
      </c>
      <c r="G24" s="230" t="n"/>
    </row>
    <row r="25">
      <c r="A25" s="230" t="n"/>
      <c r="B25" s="285" t="n">
        <v>300</v>
      </c>
      <c r="C25" s="286" t="n">
        <v>3080</v>
      </c>
      <c r="D25" s="206" t="inlineStr">
        <is>
          <t>סופרדיל לבנין ולבית</t>
        </is>
      </c>
      <c r="E25" s="208" t="n"/>
      <c r="F25" s="299" t="n">
        <v>14007.9</v>
      </c>
      <c r="G25" s="230" t="n"/>
    </row>
    <row r="26">
      <c r="A26" s="230" t="n"/>
      <c r="B26" s="285" t="n">
        <v>300</v>
      </c>
      <c r="C26" s="286" t="n">
        <v>3241</v>
      </c>
      <c r="D26" s="206" t="inlineStr">
        <is>
          <t>אורלי - משאבי אנרגיה בע"מ</t>
        </is>
      </c>
      <c r="E26" s="208" t="n"/>
      <c r="F26" s="301" t="n">
        <v>1867</v>
      </c>
      <c r="G26" s="230" t="n"/>
    </row>
    <row r="27">
      <c r="A27" s="229" t="inlineStr">
        <is>
          <t>סה"כ לקבוצה:</t>
        </is>
      </c>
      <c r="B27" s="341" t="n">
        <v>300</v>
      </c>
      <c r="C27" s="230" t="n"/>
      <c r="D27" s="230" t="n"/>
      <c r="E27" s="201" t="n">
        <v>0</v>
      </c>
      <c r="F27" s="348" t="n">
        <v>20757.9</v>
      </c>
      <c r="G27" s="348" t="n">
        <v>20757.9</v>
      </c>
    </row>
    <row r="28">
      <c r="A28" s="230" t="n"/>
      <c r="B28" s="285" t="n">
        <v>301</v>
      </c>
      <c r="C28" s="286" t="n">
        <v>5102</v>
      </c>
      <c r="D28" s="206" t="inlineStr">
        <is>
          <t>ראובן רחמים חיים  - דיבידנד</t>
        </is>
      </c>
      <c r="E28" s="287" t="n">
        <v>285714</v>
      </c>
      <c r="F28" s="230" t="n"/>
      <c r="G28" s="230" t="n"/>
    </row>
    <row r="29">
      <c r="A29" s="229" t="inlineStr">
        <is>
          <t>סה"כ לקבוצה:</t>
        </is>
      </c>
      <c r="B29" s="229" t="inlineStr">
        <is>
          <t>30*</t>
        </is>
      </c>
      <c r="C29" s="230" t="n"/>
      <c r="D29" s="230" t="n"/>
      <c r="E29" s="347" t="n">
        <v>285714</v>
      </c>
      <c r="F29" s="348" t="n">
        <v>20757.9</v>
      </c>
      <c r="G29" s="349" t="n">
        <v>-264956.1</v>
      </c>
    </row>
    <row r="30">
      <c r="A30" s="230" t="n"/>
      <c r="B30" s="285" t="n">
        <v>351</v>
      </c>
      <c r="C30" s="286" t="n">
        <v>3640</v>
      </c>
      <c r="D30" s="206" t="inlineStr">
        <is>
          <t>הפניקס קרן פנסיה</t>
        </is>
      </c>
      <c r="E30" s="208" t="n"/>
      <c r="F30" s="299" t="n">
        <v>10489</v>
      </c>
      <c r="G30" s="230" t="n"/>
    </row>
    <row r="31">
      <c r="A31" s="191" t="inlineStr">
        <is>
          <t>חוז</t>
        </is>
      </c>
      <c r="B31" s="230" t="n"/>
      <c r="C31" s="230" t="n"/>
      <c r="D31" s="230" t="n"/>
      <c r="E31" s="230" t="n"/>
      <c r="F31" s="230" t="n"/>
      <c r="G31" s="230" t="n"/>
    </row>
    <row r="32">
      <c r="A32" s="230" t="n"/>
      <c r="B32" s="285" t="n">
        <v>360</v>
      </c>
      <c r="C32" s="286" t="n">
        <v>3600</v>
      </c>
      <c r="D32" s="206" t="inlineStr">
        <is>
          <t>מס הכנסה ניכויים</t>
        </is>
      </c>
      <c r="E32" s="208" t="n"/>
      <c r="F32" s="301" t="n">
        <v>6656</v>
      </c>
      <c r="G32" s="230" t="n"/>
    </row>
    <row r="33">
      <c r="A33" s="230" t="n"/>
      <c r="B33" s="285" t="n">
        <v>360</v>
      </c>
      <c r="C33" s="286" t="n">
        <v>3610</v>
      </c>
      <c r="D33" s="206" t="inlineStr">
        <is>
          <t>ביטוח לאומי ניכויים</t>
        </is>
      </c>
      <c r="E33" s="208" t="n"/>
      <c r="F33" s="301" t="n">
        <v>5935</v>
      </c>
      <c r="G33" s="230" t="n"/>
    </row>
    <row r="34">
      <c r="A34" s="229" t="inlineStr">
        <is>
          <t>סה"כ לקבוצה:</t>
        </is>
      </c>
      <c r="B34" s="341" t="n">
        <v>360</v>
      </c>
      <c r="C34" s="230" t="n"/>
      <c r="D34" s="230" t="n"/>
      <c r="E34" s="201" t="n">
        <v>0</v>
      </c>
      <c r="F34" s="348" t="n">
        <v>12591</v>
      </c>
      <c r="G34" s="348" t="n">
        <v>12591</v>
      </c>
    </row>
    <row r="35">
      <c r="A35" s="191" t="inlineStr">
        <is>
          <t>עובדים</t>
        </is>
      </c>
      <c r="B35" s="230" t="n"/>
      <c r="C35" s="230" t="n"/>
      <c r="D35" s="230" t="n"/>
      <c r="E35" s="230" t="n"/>
      <c r="F35" s="230" t="n"/>
      <c r="G35" s="230" t="n"/>
    </row>
    <row r="36">
      <c r="A36" s="230" t="n"/>
      <c r="B36" s="285" t="n">
        <v>370</v>
      </c>
      <c r="C36" s="286" t="n">
        <v>3705</v>
      </c>
      <c r="D36" s="206" t="inlineStr">
        <is>
          <t>אבולפיה שמואל</t>
        </is>
      </c>
      <c r="E36" s="208" t="n"/>
      <c r="F36" s="301" t="n">
        <v>8861</v>
      </c>
      <c r="G36" s="230" t="n"/>
    </row>
    <row r="37">
      <c r="A37" s="230" t="n"/>
      <c r="B37" s="285" t="n">
        <v>370</v>
      </c>
      <c r="C37" s="286" t="n">
        <v>3707</v>
      </c>
      <c r="D37" s="206" t="inlineStr">
        <is>
          <t>ראובן לוסי</t>
        </is>
      </c>
      <c r="E37" s="208" t="n"/>
      <c r="F37" s="297" t="n">
        <v>300</v>
      </c>
      <c r="G37" s="230" t="n"/>
    </row>
    <row r="38">
      <c r="A38" s="230" t="n"/>
      <c r="B38" s="285" t="n">
        <v>370</v>
      </c>
      <c r="C38" s="286" t="n">
        <v>3717</v>
      </c>
      <c r="D38" s="206" t="inlineStr">
        <is>
          <t>מוריוסף אשר</t>
        </is>
      </c>
      <c r="E38" s="208" t="n"/>
      <c r="F38" s="301" t="n">
        <v>4988</v>
      </c>
      <c r="G38" s="230" t="n"/>
    </row>
    <row r="39">
      <c r="A39" s="230" t="n"/>
      <c r="B39" s="285" t="n">
        <v>370</v>
      </c>
      <c r="C39" s="286" t="n">
        <v>3731</v>
      </c>
      <c r="D39" s="206" t="inlineStr">
        <is>
          <t>ראובן רחמים</t>
        </is>
      </c>
      <c r="E39" s="208" t="n"/>
      <c r="F39" s="299" t="n">
        <v>17442</v>
      </c>
      <c r="G39" s="230" t="n"/>
    </row>
    <row r="40">
      <c r="A40" s="230" t="n"/>
      <c r="B40" s="285" t="n">
        <v>370</v>
      </c>
      <c r="C40" s="286" t="n">
        <v>3733</v>
      </c>
      <c r="D40" s="206" t="inlineStr">
        <is>
          <t>אלעד ראובן</t>
        </is>
      </c>
      <c r="E40" s="208" t="n"/>
      <c r="F40" s="301" t="n">
        <v>5300</v>
      </c>
      <c r="G40" s="230" t="n"/>
    </row>
    <row r="41">
      <c r="A41" s="229" t="inlineStr">
        <is>
          <t>סה"כ לקבוצה:</t>
        </is>
      </c>
      <c r="B41" s="341" t="n">
        <v>370</v>
      </c>
      <c r="C41" s="230" t="n"/>
      <c r="D41" s="230" t="n"/>
      <c r="E41" s="201" t="n">
        <v>0</v>
      </c>
      <c r="F41" s="348" t="n">
        <v>36891</v>
      </c>
      <c r="G41" s="348" t="n">
        <v>36891</v>
      </c>
    </row>
    <row r="42">
      <c r="A42" s="229" t="inlineStr">
        <is>
          <t>סה"כ לקבוצה:</t>
        </is>
      </c>
      <c r="B42" s="229" t="inlineStr">
        <is>
          <t>3**</t>
        </is>
      </c>
      <c r="C42" s="230" t="n"/>
      <c r="D42" s="230" t="n"/>
      <c r="E42" s="347" t="n">
        <v>285714</v>
      </c>
      <c r="F42" s="348" t="n">
        <v>80728.89999999999</v>
      </c>
      <c r="G42" s="349" t="n">
        <v>-204985.1</v>
      </c>
    </row>
    <row r="43">
      <c r="A43" s="230" t="n"/>
      <c r="B43" s="341" t="n">
        <v>400</v>
      </c>
      <c r="C43" s="342" t="n">
        <v>4000</v>
      </c>
      <c r="D43" s="229" t="inlineStr">
        <is>
          <t>הון מניות</t>
        </is>
      </c>
      <c r="E43" s="230" t="n"/>
      <c r="F43" s="351" t="n">
        <v>100</v>
      </c>
      <c r="G43" s="230" t="n"/>
    </row>
    <row r="44">
      <c r="A44" s="230" t="n"/>
      <c r="B44" s="285" t="n">
        <v>450</v>
      </c>
      <c r="C44" s="286" t="n">
        <v>4500</v>
      </c>
      <c r="D44" s="206" t="inlineStr">
        <is>
          <t>חשבון רווח/הפסד</t>
        </is>
      </c>
      <c r="E44" s="208" t="n"/>
      <c r="F44" s="352" t="n">
        <v>1167736.01</v>
      </c>
      <c r="G44" s="230" t="n"/>
    </row>
    <row r="45">
      <c r="A45" s="229" t="inlineStr">
        <is>
          <t>סה"כ לקבוצה:</t>
        </is>
      </c>
      <c r="B45" s="229" t="inlineStr">
        <is>
          <t>4**</t>
        </is>
      </c>
      <c r="C45" s="230" t="n"/>
      <c r="D45" s="230" t="n"/>
      <c r="E45" s="201" t="n">
        <v>0</v>
      </c>
      <c r="F45" s="353" t="n">
        <v>1167836.01</v>
      </c>
      <c r="G45" s="353" t="n">
        <v>1167836.01</v>
      </c>
    </row>
    <row r="46">
      <c r="A46" s="191" t="inlineStr">
        <is>
          <t>אגף המכס והבלו</t>
        </is>
      </c>
      <c r="B46" s="230" t="n"/>
      <c r="C46" s="230" t="n"/>
      <c r="D46" s="230" t="n"/>
      <c r="E46" s="230" t="n"/>
      <c r="F46" s="230" t="n"/>
      <c r="G46" s="230" t="n"/>
    </row>
    <row r="47">
      <c r="A47" s="230" t="n"/>
      <c r="B47" s="285" t="n">
        <v>500</v>
      </c>
      <c r="C47" s="286" t="n">
        <v>5000</v>
      </c>
      <c r="D47" s="206" t="inlineStr">
        <is>
          <t>מעמ תשומות</t>
        </is>
      </c>
      <c r="E47" s="301" t="n">
        <v>2635.88</v>
      </c>
      <c r="F47" s="208" t="n"/>
      <c r="G47" s="230" t="n"/>
    </row>
    <row r="48">
      <c r="A48" s="230" t="n"/>
      <c r="B48" s="285" t="n">
        <v>500</v>
      </c>
      <c r="C48" s="286" t="n">
        <v>5040</v>
      </c>
      <c r="D48" s="206" t="inlineStr">
        <is>
          <t>חוז מעמ</t>
        </is>
      </c>
      <c r="E48" s="208" t="n"/>
      <c r="F48" s="299" t="n">
        <v>33323</v>
      </c>
      <c r="G48" s="230" t="n"/>
    </row>
    <row r="49">
      <c r="A49" s="229" t="inlineStr">
        <is>
          <t>סה"כ לקבוצה:</t>
        </is>
      </c>
      <c r="B49" s="341" t="n">
        <v>500</v>
      </c>
      <c r="C49" s="230" t="n"/>
      <c r="D49" s="230" t="n"/>
      <c r="E49" s="343" t="n">
        <v>2635.88</v>
      </c>
      <c r="F49" s="348" t="n">
        <v>33323</v>
      </c>
      <c r="G49" s="348" t="n">
        <v>30687.12</v>
      </c>
    </row>
    <row r="50">
      <c r="A50" s="191" t="inlineStr">
        <is>
          <t>בעלי מניות</t>
        </is>
      </c>
      <c r="B50" s="230" t="n"/>
      <c r="C50" s="230" t="n"/>
      <c r="D50" s="230" t="n"/>
      <c r="E50" s="230" t="n"/>
      <c r="F50" s="230" t="n"/>
      <c r="G50" s="230" t="n"/>
    </row>
    <row r="51">
      <c r="A51" s="230" t="n"/>
      <c r="B51" s="285" t="n">
        <v>510</v>
      </c>
      <c r="C51" s="286" t="n">
        <v>5100</v>
      </c>
      <c r="D51" s="206" t="inlineStr">
        <is>
          <t>ראובן מירון</t>
        </is>
      </c>
      <c r="E51" s="208" t="n"/>
      <c r="F51" s="301" t="n">
        <v>9586.67</v>
      </c>
      <c r="G51" s="230" t="n"/>
    </row>
    <row r="52">
      <c r="A52" s="229" t="inlineStr">
        <is>
          <t>סה"כ לקבוצה:</t>
        </is>
      </c>
      <c r="B52" s="229" t="inlineStr">
        <is>
          <t>5**</t>
        </is>
      </c>
      <c r="C52" s="230" t="n"/>
      <c r="D52" s="230" t="n"/>
      <c r="E52" s="343" t="n">
        <v>2635.88</v>
      </c>
      <c r="F52" s="348" t="n">
        <v>42909.67</v>
      </c>
      <c r="G52" s="348" t="n">
        <v>40273.79</v>
      </c>
    </row>
    <row r="53">
      <c r="A53" s="191" t="inlineStr">
        <is>
          <t>הכנסות</t>
        </is>
      </c>
      <c r="B53" s="230" t="n"/>
      <c r="C53" s="230" t="n"/>
      <c r="D53" s="230" t="n"/>
      <c r="E53" s="230" t="n"/>
      <c r="F53" s="230" t="n"/>
      <c r="G53" s="230" t="n"/>
    </row>
    <row r="54">
      <c r="A54" s="230" t="n"/>
      <c r="B54" s="285" t="n">
        <v>600</v>
      </c>
      <c r="C54" s="286" t="n">
        <v>6000</v>
      </c>
      <c r="D54" s="206" t="inlineStr">
        <is>
          <t>הכנסות</t>
        </is>
      </c>
      <c r="E54" s="208" t="n"/>
      <c r="F54" s="287" t="n">
        <v>340180.34</v>
      </c>
      <c r="G54" s="230" t="n"/>
    </row>
    <row r="55">
      <c r="A55" s="230" t="n"/>
      <c r="B55" s="285" t="n">
        <v>600</v>
      </c>
      <c r="C55" s="286" t="n">
        <v>6008</v>
      </c>
      <c r="D55" s="206" t="inlineStr">
        <is>
          <t>הכנסות מניקוי אוניות פחם - חברת החשמל</t>
        </is>
      </c>
      <c r="E55" s="208" t="n"/>
      <c r="F55" s="287" t="n">
        <v>429924.79</v>
      </c>
      <c r="G55" s="230" t="n"/>
    </row>
    <row r="56">
      <c r="A56" s="230" t="n"/>
      <c r="B56" s="285" t="n">
        <v>600</v>
      </c>
      <c r="C56" s="286" t="n">
        <v>6010</v>
      </c>
      <c r="D56" s="206" t="inlineStr">
        <is>
          <t>הכנסות - החברה הלאומית לאספקת פחם</t>
        </is>
      </c>
      <c r="E56" s="208" t="n"/>
      <c r="F56" s="299" t="n">
        <v>18800</v>
      </c>
      <c r="G56" s="230" t="n"/>
    </row>
    <row r="57">
      <c r="A57" s="229" t="inlineStr">
        <is>
          <t>סה"כ לקבוצה:</t>
        </is>
      </c>
      <c r="B57" s="341" t="n">
        <v>600</v>
      </c>
      <c r="C57" s="230" t="n"/>
      <c r="D57" s="230" t="n"/>
      <c r="E57" s="201" t="n">
        <v>0</v>
      </c>
      <c r="F57" s="347" t="n">
        <v>788905.13</v>
      </c>
      <c r="G57" s="347" t="n">
        <v>788905.13</v>
      </c>
    </row>
    <row r="58">
      <c r="A58" s="230" t="n"/>
      <c r="B58" s="285" t="n">
        <v>610</v>
      </c>
      <c r="C58" s="286" t="n">
        <v>6250</v>
      </c>
      <c r="D58" s="206" t="inlineStr">
        <is>
          <t>מכירת ציוד חייב מעמ</t>
        </is>
      </c>
      <c r="E58" s="208" t="n"/>
      <c r="F58" s="301" t="n">
        <v>4017.09</v>
      </c>
      <c r="G58" s="230" t="n"/>
    </row>
    <row r="59">
      <c r="A59" s="191" t="inlineStr">
        <is>
          <t>קניות</t>
        </is>
      </c>
      <c r="B59" s="230" t="n"/>
      <c r="C59" s="230" t="n"/>
      <c r="D59" s="230" t="n"/>
      <c r="E59" s="230" t="n"/>
      <c r="F59" s="230" t="n"/>
      <c r="G59" s="230" t="n"/>
    </row>
    <row r="60">
      <c r="A60" s="230" t="n"/>
      <c r="B60" s="285" t="n">
        <v>650</v>
      </c>
      <c r="C60" s="286" t="n">
        <v>6500</v>
      </c>
      <c r="D60" s="206" t="inlineStr">
        <is>
          <t>קניות</t>
        </is>
      </c>
      <c r="E60" s="287" t="n">
        <v>107841.42</v>
      </c>
      <c r="F60" s="230" t="n"/>
      <c r="G60" s="230" t="n"/>
    </row>
    <row r="61">
      <c r="A61" s="230" t="n"/>
      <c r="B61" s="285" t="n">
        <v>660</v>
      </c>
      <c r="C61" s="286" t="n">
        <v>6600</v>
      </c>
      <c r="D61" s="206" t="inlineStr">
        <is>
          <t>קבלני משנה</t>
        </is>
      </c>
      <c r="E61" s="301" t="n">
        <v>8150</v>
      </c>
      <c r="F61" s="230" t="n"/>
      <c r="G61" s="230" t="n"/>
    </row>
    <row r="62">
      <c r="A62" s="230" t="n"/>
      <c r="B62" s="285" t="n">
        <v>670</v>
      </c>
      <c r="C62" s="286" t="n">
        <v>6700</v>
      </c>
      <c r="D62" s="206" t="inlineStr">
        <is>
          <t>מלאי פתיחה רווח והפסד</t>
        </is>
      </c>
      <c r="E62" s="299" t="n">
        <v>27815</v>
      </c>
      <c r="F62" s="230" t="n"/>
      <c r="G62" s="230" t="n"/>
    </row>
    <row r="63">
      <c r="A63" s="229" t="inlineStr">
        <is>
          <t>סה"כ לקבוצה:</t>
        </is>
      </c>
      <c r="B63" s="229" t="inlineStr">
        <is>
          <t>6**</t>
        </is>
      </c>
      <c r="C63" s="230" t="n"/>
      <c r="D63" s="230" t="n"/>
      <c r="E63" s="347" t="n">
        <v>143806.42</v>
      </c>
      <c r="F63" s="347" t="n">
        <v>792922.22</v>
      </c>
      <c r="G63" s="347" t="n">
        <v>649115.8</v>
      </c>
    </row>
    <row r="64">
      <c r="A64" s="191" t="inlineStr">
        <is>
          <t>שכר עבודה</t>
        </is>
      </c>
      <c r="B64" s="230" t="n"/>
      <c r="C64" s="230" t="n"/>
      <c r="D64" s="230" t="n"/>
      <c r="E64" s="230" t="n"/>
      <c r="F64" s="230" t="n"/>
      <c r="G64" s="230" t="n"/>
    </row>
    <row r="65">
      <c r="A65" s="230" t="n"/>
      <c r="B65" s="285" t="n">
        <v>700</v>
      </c>
      <c r="C65" s="286" t="n">
        <v>7000</v>
      </c>
      <c r="D65" s="206" t="inlineStr">
        <is>
          <t>שכר עבודה</t>
        </is>
      </c>
      <c r="E65" s="287" t="n">
        <v>427143</v>
      </c>
      <c r="F65" s="208" t="n"/>
      <c r="G65" s="230" t="n"/>
    </row>
    <row r="66">
      <c r="A66" s="230" t="n"/>
      <c r="B66" s="285" t="n">
        <v>700</v>
      </c>
      <c r="C66" s="286" t="n">
        <v>7001</v>
      </c>
      <c r="D66" s="206" t="inlineStr">
        <is>
          <t>סוציאליות</t>
        </is>
      </c>
      <c r="E66" s="299" t="n">
        <v>19652</v>
      </c>
      <c r="F66" s="208" t="n"/>
      <c r="G66" s="230" t="n"/>
    </row>
    <row r="67">
      <c r="A67" s="230" t="n"/>
      <c r="B67" s="285" t="n">
        <v>700</v>
      </c>
      <c r="C67" s="286" t="n">
        <v>7002</v>
      </c>
      <c r="D67" s="206" t="inlineStr">
        <is>
          <t>גמל מעביד</t>
        </is>
      </c>
      <c r="E67" s="299" t="n">
        <v>20820</v>
      </c>
      <c r="F67" s="208" t="n"/>
      <c r="G67" s="230" t="n"/>
    </row>
    <row r="68">
      <c r="A68" s="230" t="n"/>
      <c r="B68" s="285" t="n">
        <v>700</v>
      </c>
      <c r="C68" s="286" t="n">
        <v>7006</v>
      </c>
      <c r="D68" s="206" t="inlineStr">
        <is>
          <t>הוצ גמל פיצויים</t>
        </is>
      </c>
      <c r="E68" s="299" t="n">
        <v>24624</v>
      </c>
      <c r="F68" s="208" t="n"/>
      <c r="G68" s="230" t="n"/>
    </row>
    <row r="69">
      <c r="A69" s="230" t="n"/>
      <c r="B69" s="285" t="n">
        <v>700</v>
      </c>
      <c r="C69" s="286" t="n">
        <v>7010</v>
      </c>
      <c r="D69" s="206" t="inlineStr">
        <is>
          <t>הכנסות זקופות</t>
        </is>
      </c>
      <c r="E69" s="208" t="n"/>
      <c r="F69" s="301" t="n">
        <v>2526</v>
      </c>
      <c r="G69" s="230" t="n"/>
    </row>
    <row r="70">
      <c r="A70" s="229" t="inlineStr">
        <is>
          <t>סה"כ לקבוצה:</t>
        </is>
      </c>
      <c r="B70" s="341" t="n">
        <v>700</v>
      </c>
      <c r="C70" s="230" t="n"/>
      <c r="D70" s="230" t="n"/>
      <c r="E70" s="347" t="n">
        <v>492239</v>
      </c>
      <c r="F70" s="343" t="n">
        <v>2526</v>
      </c>
      <c r="G70" s="349" t="n">
        <v>-489713</v>
      </c>
    </row>
    <row r="71">
      <c r="A71" s="191" t="inlineStr">
        <is>
          <t>הוצאות הנהלה וכלליות</t>
        </is>
      </c>
      <c r="B71" s="230" t="n"/>
      <c r="C71" s="230" t="n"/>
      <c r="D71" s="230" t="n"/>
      <c r="E71" s="230" t="n"/>
      <c r="F71" s="230" t="n"/>
      <c r="G71" s="230" t="n"/>
    </row>
    <row r="72">
      <c r="A72" s="230" t="n"/>
      <c r="B72" s="285" t="n">
        <v>720</v>
      </c>
      <c r="C72" s="286" t="n">
        <v>7201</v>
      </c>
      <c r="D72" s="206" t="inlineStr">
        <is>
          <t>ביטוחים</t>
        </is>
      </c>
      <c r="E72" s="299" t="n">
        <v>25680</v>
      </c>
      <c r="F72" s="230" t="n"/>
      <c r="G72" s="230" t="n"/>
    </row>
    <row r="73">
      <c r="A73" s="230" t="n"/>
      <c r="B73" s="285" t="n">
        <v>720</v>
      </c>
      <c r="C73" s="286" t="n">
        <v>7204</v>
      </c>
      <c r="D73" s="206" t="inlineStr">
        <is>
          <t>אגרות</t>
        </is>
      </c>
      <c r="E73" s="301" t="n">
        <v>1137</v>
      </c>
      <c r="F73" s="230" t="n"/>
      <c r="G73" s="230" t="n"/>
    </row>
    <row r="74">
      <c r="A74" s="230" t="n"/>
      <c r="B74" s="285" t="n">
        <v>720</v>
      </c>
      <c r="C74" s="286" t="n">
        <v>7210</v>
      </c>
      <c r="D74" s="206" t="inlineStr">
        <is>
          <t>טלפון ותקשורת</t>
        </is>
      </c>
      <c r="E74" s="301" t="n">
        <v>3209.11</v>
      </c>
      <c r="F74" s="230" t="n"/>
      <c r="G74" s="230" t="n"/>
    </row>
    <row r="75">
      <c r="A75" s="230" t="n"/>
      <c r="B75" s="341" t="n">
        <v>720</v>
      </c>
      <c r="C75" s="342" t="n">
        <v>7221</v>
      </c>
      <c r="D75" s="229" t="inlineStr">
        <is>
          <t>בדיקות תקופתיות</t>
        </is>
      </c>
      <c r="E75" s="343" t="n">
        <v>3589.74</v>
      </c>
      <c r="F75" s="230" t="n"/>
      <c r="G75" s="230" t="n"/>
    </row>
    <row r="76">
      <c r="A76" s="230" t="n"/>
      <c r="B76" s="285" t="n">
        <v>720</v>
      </c>
      <c r="C76" s="286" t="n">
        <v>7250</v>
      </c>
      <c r="D76" s="206" t="inlineStr">
        <is>
          <t>הנהח וביקורת</t>
        </is>
      </c>
      <c r="E76" s="301" t="n">
        <v>6837.61</v>
      </c>
      <c r="F76" s="230" t="n"/>
      <c r="G76" s="230" t="n"/>
    </row>
    <row r="77">
      <c r="A77" s="229" t="inlineStr">
        <is>
          <t>סה"כ לקבוצה:</t>
        </is>
      </c>
      <c r="B77" s="341" t="n">
        <v>720</v>
      </c>
      <c r="C77" s="230" t="n"/>
      <c r="D77" s="230" t="n"/>
      <c r="E77" s="348" t="n">
        <v>40453.46</v>
      </c>
      <c r="F77" s="201" t="n">
        <v>0</v>
      </c>
      <c r="G77" s="350" t="n">
        <v>-40453.46</v>
      </c>
    </row>
    <row r="78">
      <c r="A78" s="191" t="inlineStr">
        <is>
          <t>אחזקת רכב</t>
        </is>
      </c>
      <c r="B78" s="230" t="n"/>
      <c r="C78" s="230" t="n"/>
      <c r="D78" s="230" t="n"/>
      <c r="E78" s="230" t="n"/>
      <c r="F78" s="230" t="n"/>
      <c r="G78" s="230" t="n"/>
    </row>
    <row r="79">
      <c r="A79" s="230" t="n"/>
      <c r="B79" s="285" t="n">
        <v>760</v>
      </c>
      <c r="C79" s="286" t="n">
        <v>7600</v>
      </c>
      <c r="D79" s="206" t="inlineStr">
        <is>
          <t>24-388-73  יונדאי דלק    (10.2016)</t>
        </is>
      </c>
      <c r="E79" s="299" t="n">
        <v>14906.97</v>
      </c>
      <c r="F79" s="230" t="n"/>
      <c r="G79" s="230" t="n"/>
    </row>
    <row r="80">
      <c r="A80" s="230" t="n"/>
      <c r="B80" s="285" t="n">
        <v>760</v>
      </c>
      <c r="C80" s="286" t="n">
        <v>7601</v>
      </c>
      <c r="D80" s="206" t="inlineStr">
        <is>
          <t>24-388-73  יונדאי הוצ שוטפות    (10.2016)</t>
        </is>
      </c>
      <c r="E80" s="297" t="n">
        <v>556.35</v>
      </c>
      <c r="F80" s="230" t="n"/>
      <c r="G80" s="230" t="n"/>
    </row>
    <row r="81">
      <c r="A81" s="230" t="n"/>
      <c r="B81" s="285" t="n">
        <v>760</v>
      </c>
      <c r="C81" s="286" t="n">
        <v>7602</v>
      </c>
      <c r="D81" s="206" t="inlineStr">
        <is>
          <t>24-388-73  יונדאי ביטוחים    (10.2016)</t>
        </is>
      </c>
      <c r="E81" s="301" t="n">
        <v>4105</v>
      </c>
      <c r="F81" s="230" t="n"/>
      <c r="G81" s="230" t="n"/>
    </row>
    <row r="82">
      <c r="A82" s="229" t="inlineStr">
        <is>
          <t>סה"כ לקבוצה:</t>
        </is>
      </c>
      <c r="B82" s="341" t="n">
        <v>760</v>
      </c>
      <c r="C82" s="230" t="n"/>
      <c r="D82" s="230" t="n"/>
      <c r="E82" s="348" t="n">
        <v>19568.32</v>
      </c>
      <c r="F82" s="201" t="n">
        <v>0</v>
      </c>
      <c r="G82" s="350" t="n">
        <v>-19568.32</v>
      </c>
    </row>
    <row r="83">
      <c r="A83" s="191" t="inlineStr">
        <is>
          <t>מימון</t>
        </is>
      </c>
      <c r="B83" s="230" t="n"/>
      <c r="C83" s="230" t="n"/>
      <c r="D83" s="230" t="n"/>
      <c r="E83" s="230" t="n"/>
      <c r="F83" s="230" t="n"/>
      <c r="G83" s="230" t="n"/>
    </row>
    <row r="84">
      <c r="A84" s="230" t="n"/>
      <c r="B84" s="285" t="n">
        <v>790</v>
      </c>
      <c r="C84" s="286" t="n">
        <v>7900</v>
      </c>
      <c r="D84" s="206" t="inlineStr">
        <is>
          <t>ריבית ועמלות בנק</t>
        </is>
      </c>
      <c r="E84" s="301" t="n">
        <v>2603.58</v>
      </c>
      <c r="F84" s="230" t="n"/>
      <c r="G84" s="230" t="n"/>
    </row>
    <row r="85">
      <c r="A85" s="230" t="n"/>
      <c r="B85" s="285" t="n">
        <v>790</v>
      </c>
      <c r="C85" s="286" t="n">
        <v>7940</v>
      </c>
      <c r="D85" s="206" t="inlineStr">
        <is>
          <t>ריבית מוסדות</t>
        </is>
      </c>
      <c r="E85" s="324" t="n">
        <v>71</v>
      </c>
      <c r="F85" s="230" t="n"/>
      <c r="G85" s="230" t="n"/>
    </row>
    <row r="86">
      <c r="A86" s="230" t="n"/>
      <c r="B86" s="285" t="n">
        <v>790</v>
      </c>
      <c r="C86" s="286" t="n">
        <v>7999</v>
      </c>
      <c r="D86" s="206" t="inlineStr">
        <is>
          <t>ביטול ייתרות</t>
        </is>
      </c>
      <c r="E86" s="212" t="n">
        <v>5.36</v>
      </c>
      <c r="F86" s="230" t="n"/>
      <c r="G86" s="230" t="n"/>
    </row>
    <row r="87">
      <c r="A87" s="229" t="inlineStr">
        <is>
          <t>סה"כ לקבוצה:</t>
        </is>
      </c>
      <c r="B87" s="341" t="n">
        <v>790</v>
      </c>
      <c r="C87" s="230" t="n"/>
      <c r="D87" s="230" t="n"/>
      <c r="E87" s="343" t="n">
        <v>2679.94</v>
      </c>
      <c r="F87" s="201" t="n">
        <v>0</v>
      </c>
      <c r="G87" s="354" t="n">
        <v>-2679.94</v>
      </c>
    </row>
    <row r="88">
      <c r="A88" s="229" t="inlineStr">
        <is>
          <t>סה"כ לקבוצה:</t>
        </is>
      </c>
      <c r="B88" s="229" t="inlineStr">
        <is>
          <t>7**</t>
        </is>
      </c>
      <c r="C88" s="230" t="n"/>
      <c r="D88" s="230" t="n"/>
      <c r="E88" s="347" t="n">
        <v>554940.72</v>
      </c>
      <c r="F88" s="343" t="n">
        <v>2526</v>
      </c>
      <c r="G88" s="349" t="n">
        <v>-552414.72</v>
      </c>
    </row>
    <row r="89">
      <c r="A89" s="229" t="inlineStr">
        <is>
          <t>סה"כ לקבוצה:</t>
        </is>
      </c>
      <c r="B89" s="229" t="inlineStr">
        <is>
          <t>***</t>
        </is>
      </c>
      <c r="C89" s="230" t="n"/>
      <c r="D89" s="230" t="n"/>
      <c r="E89" s="353" t="n">
        <v>2233388.8</v>
      </c>
      <c r="F89" s="353" t="n">
        <v>2233388.8</v>
      </c>
      <c r="G89" s="201" t="n">
        <v>0</v>
      </c>
    </row>
    <row r="90">
      <c r="A90" s="229" t="inlineStr">
        <is>
          <t>סה"כ לדו"ח:</t>
        </is>
      </c>
      <c r="B90" s="230" t="n"/>
      <c r="C90" s="230" t="n"/>
      <c r="D90" s="230" t="n"/>
      <c r="E90" s="353" t="n">
        <v>2233388.8</v>
      </c>
      <c r="F90" s="353" t="n">
        <v>2233388.8</v>
      </c>
      <c r="G90" s="201"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87"/>
  <sheetViews>
    <sheetView rightToLeft="1" workbookViewId="0">
      <selection activeCell="A1" sqref="A1:IV65536"/>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 xml:space="preserve">מירון יתרות </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285" t="n">
        <v>110</v>
      </c>
      <c r="B4" s="286" t="n">
        <v>1030</v>
      </c>
      <c r="C4" s="206" t="inlineStr">
        <is>
          <t>פקדון</t>
        </is>
      </c>
      <c r="D4" s="299" t="n">
        <v>52828.56</v>
      </c>
      <c r="E4" s="289" t="n"/>
      <c r="F4" s="284" t="n">
        <v>7.83</v>
      </c>
      <c r="G4" s="284">
        <f>D4-E4+F4</f>
        <v/>
      </c>
      <c r="H4" s="284" t="n"/>
    </row>
    <row r="5">
      <c r="A5" s="285" t="n">
        <v>110</v>
      </c>
      <c r="B5" s="286" t="n">
        <v>1100</v>
      </c>
      <c r="C5" s="206" t="inlineStr">
        <is>
          <t>בנק הפועלים בע"מ</t>
        </is>
      </c>
      <c r="D5" s="287" t="n">
        <v>731991.8100000001</v>
      </c>
      <c r="E5" s="289" t="n"/>
      <c r="F5" s="289" t="n"/>
      <c r="G5" s="284">
        <f>D5-E5+F5</f>
        <v/>
      </c>
      <c r="H5" s="284" t="n"/>
    </row>
    <row r="6">
      <c r="A6" s="285" t="n">
        <v>100</v>
      </c>
      <c r="B6" s="286" t="n">
        <v>1005</v>
      </c>
      <c r="C6" s="206" t="inlineStr">
        <is>
          <t>קופת שקים</t>
        </is>
      </c>
      <c r="D6" s="287" t="n">
        <v>164502</v>
      </c>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89" t="n"/>
      <c r="G8" s="284">
        <f>D8-E8+F8</f>
        <v/>
      </c>
      <c r="H8" s="284" t="n"/>
    </row>
    <row r="9">
      <c r="A9" s="285" t="n">
        <v>110</v>
      </c>
      <c r="B9" s="286" t="n">
        <v>1150</v>
      </c>
      <c r="C9" s="206" t="inlineStr">
        <is>
          <t>שקים לפרעון</t>
        </is>
      </c>
      <c r="D9" s="208" t="n"/>
      <c r="E9" s="297" t="n"/>
      <c r="F9" s="289" t="n"/>
      <c r="G9" s="284">
        <f>D9-E9+F9</f>
        <v/>
      </c>
      <c r="H9" s="284" t="n"/>
    </row>
    <row r="10">
      <c r="A10" s="285" t="n">
        <v>110</v>
      </c>
      <c r="B10" s="346" t="n">
        <v>633</v>
      </c>
      <c r="C10" s="206" t="inlineStr">
        <is>
          <t>633  ישראכרט  עסקי</t>
        </is>
      </c>
      <c r="D10" s="208" t="n"/>
      <c r="E10" s="299" t="n">
        <v>11956</v>
      </c>
      <c r="F10" s="289" t="n"/>
      <c r="G10" s="284">
        <f>D10-E10+F10</f>
        <v/>
      </c>
      <c r="H10" s="284">
        <f>SUM(G9:G10)</f>
        <v/>
      </c>
      <c r="M10" s="298" t="n">
        <v>1838445</v>
      </c>
    </row>
    <row r="11">
      <c r="A11" s="294" t="n"/>
      <c r="B11" s="294" t="n"/>
      <c r="C11" s="140" t="inlineStr">
        <is>
          <t>לקוחות</t>
        </is>
      </c>
      <c r="D11" s="294" t="n"/>
      <c r="E11" s="160" t="n"/>
      <c r="F11" s="289" t="n"/>
      <c r="G11" s="284">
        <f>D11-E11+F11</f>
        <v/>
      </c>
      <c r="H11" s="284" t="n"/>
    </row>
    <row r="12">
      <c r="A12" s="285" t="n">
        <v>200</v>
      </c>
      <c r="B12" s="286" t="n">
        <v>2040</v>
      </c>
      <c r="C12" s="206" t="inlineStr">
        <is>
          <t>חברת החשמל לישראל בע"מ</t>
        </is>
      </c>
      <c r="D12" s="299" t="n">
        <v>39873</v>
      </c>
      <c r="E12" s="300" t="n"/>
      <c r="F12" s="289" t="n"/>
      <c r="G12" s="284">
        <f>D12-E12+F12</f>
        <v/>
      </c>
      <c r="H12" s="284" t="n"/>
      <c r="M12" s="298" t="n">
        <v>6500</v>
      </c>
    </row>
    <row r="13">
      <c r="A13" s="330" t="n">
        <v>200</v>
      </c>
      <c r="B13" s="331" t="n">
        <v>2080</v>
      </c>
      <c r="C13" s="216" t="inlineStr">
        <is>
          <t>החברה הלאומית לאספקת פחם בע"מ</t>
        </is>
      </c>
      <c r="D13" s="332" t="n"/>
      <c r="E13" s="300" t="n"/>
      <c r="F13" s="289" t="n"/>
      <c r="G13" s="284">
        <f>D13-E13+F13</f>
        <v/>
      </c>
      <c r="H13" s="284" t="n"/>
    </row>
    <row r="14">
      <c r="A14" s="300" t="n"/>
      <c r="B14" s="300" t="n"/>
      <c r="C14" s="302" t="n"/>
      <c r="D14" s="170" t="n"/>
      <c r="E14" s="300" t="n"/>
      <c r="F14" s="289" t="n"/>
      <c r="G14" s="284">
        <f>D14-E14+F14</f>
        <v/>
      </c>
      <c r="H14" s="284">
        <f>SUM(G12:G14)</f>
        <v/>
      </c>
      <c r="M14" s="298">
        <f>SUM(M10:M13)</f>
        <v/>
      </c>
    </row>
    <row r="15">
      <c r="A15" s="294" t="n"/>
      <c r="B15" s="294" t="n"/>
      <c r="C15" s="140" t="inlineStr">
        <is>
          <t>פקיד שומה</t>
        </is>
      </c>
      <c r="D15" s="294" t="n"/>
      <c r="E15" s="294" t="n"/>
      <c r="F15" s="289" t="n"/>
      <c r="G15" s="284">
        <f>D15-E15+F15</f>
        <v/>
      </c>
      <c r="H15" s="284" t="n"/>
    </row>
    <row r="16">
      <c r="A16" s="285" t="n">
        <v>270</v>
      </c>
      <c r="B16" s="286" t="n">
        <v>2700</v>
      </c>
      <c r="C16" s="206" t="inlineStr">
        <is>
          <t>נכוי במקור - לקוחות</t>
        </is>
      </c>
      <c r="D16" s="299" t="n">
        <v>68433.7</v>
      </c>
      <c r="E16" s="300" t="n"/>
      <c r="F16" s="289" t="n">
        <v>-33966.5</v>
      </c>
      <c r="G16" s="284">
        <f>D16-E16+F16</f>
        <v/>
      </c>
      <c r="H16" s="284" t="n"/>
    </row>
    <row r="17">
      <c r="A17" s="285" t="n">
        <v>270</v>
      </c>
      <c r="B17" s="286" t="n">
        <v>2744</v>
      </c>
      <c r="C17" s="206" t="inlineStr">
        <is>
          <t>מס הכנסה שנים קודמות</t>
        </is>
      </c>
      <c r="D17" s="301" t="n">
        <v>7575.73</v>
      </c>
      <c r="E17" s="300" t="n"/>
      <c r="F17" s="289" t="n">
        <v>33966.5</v>
      </c>
      <c r="G17" s="284">
        <f>D17-E17+F17</f>
        <v/>
      </c>
      <c r="H17" s="284" t="n"/>
    </row>
    <row r="18">
      <c r="A18" s="330" t="n">
        <v>270</v>
      </c>
      <c r="B18" s="331" t="n">
        <v>2745</v>
      </c>
      <c r="C18" s="216" t="inlineStr">
        <is>
          <t>מס הכנסה מקדמות</t>
        </is>
      </c>
      <c r="D18" s="332" t="n"/>
      <c r="E18" s="300" t="n"/>
      <c r="F18" s="289" t="n"/>
      <c r="G18" s="284">
        <f>D18-E18+F18</f>
        <v/>
      </c>
      <c r="H18" s="284" t="n"/>
    </row>
    <row r="19" ht="17" customHeight="1" s="282" thickBot="1">
      <c r="A19" s="300" t="n"/>
      <c r="B19" s="300" t="n"/>
      <c r="C19" s="302" t="n"/>
      <c r="D19" s="300" t="n"/>
      <c r="E19" s="170" t="n"/>
      <c r="F19" s="289" t="n"/>
      <c r="G19" s="284">
        <f>D19-E19+F19</f>
        <v/>
      </c>
      <c r="H19" s="284">
        <f>SUM(G16:G19)</f>
        <v/>
      </c>
    </row>
    <row r="20">
      <c r="A20" s="294" t="n"/>
      <c r="B20" s="294" t="n"/>
      <c r="C20" s="140" t="inlineStr">
        <is>
          <t>רכוש קבוע</t>
        </is>
      </c>
      <c r="D20" s="294" t="n"/>
      <c r="E20" s="160" t="n"/>
      <c r="F20" s="289" t="n"/>
      <c r="G20" s="284">
        <f>D20-E20+F20</f>
        <v/>
      </c>
      <c r="H20" s="284" t="n"/>
      <c r="M20" s="303" t="inlineStr">
        <is>
          <t>מלאי</t>
        </is>
      </c>
    </row>
    <row r="21">
      <c r="A21" s="290" t="n"/>
      <c r="B21" s="291" t="n"/>
      <c r="C21" s="292" t="n"/>
      <c r="D21" s="293" t="n"/>
      <c r="E21" s="304" t="n"/>
      <c r="F21" s="289" t="n"/>
      <c r="G21" s="284">
        <f>D21-E21+F21</f>
        <v/>
      </c>
      <c r="H21" s="284" t="n"/>
      <c r="M21" s="305" t="n">
        <v>29924</v>
      </c>
    </row>
    <row r="22">
      <c r="A22" s="285" t="n">
        <v>280</v>
      </c>
      <c r="B22" s="286" t="n">
        <v>2800</v>
      </c>
      <c r="C22" s="206" t="inlineStr">
        <is>
          <t>רכוש קבוע</t>
        </is>
      </c>
      <c r="D22" s="287" t="n">
        <v>181086.98</v>
      </c>
      <c r="E22" s="208" t="n"/>
      <c r="F22" s="289" t="n">
        <v>-53961</v>
      </c>
      <c r="G22" s="284">
        <f>D22-E22+F22</f>
        <v/>
      </c>
      <c r="H22" s="284">
        <f>SUM(G21:G22)</f>
        <v/>
      </c>
      <c r="M22" s="305" t="n"/>
    </row>
    <row r="23" ht="17" customHeight="1" s="282" thickBot="1">
      <c r="A23" s="285" t="n">
        <v>280</v>
      </c>
      <c r="B23" s="286" t="n">
        <v>2850</v>
      </c>
      <c r="C23" s="206" t="inlineStr">
        <is>
          <t>פחת נצבר</t>
        </is>
      </c>
      <c r="D23" s="208" t="n"/>
      <c r="E23" s="287" t="n">
        <v>134510</v>
      </c>
      <c r="F23" s="289">
        <f>-17394+53614</f>
        <v/>
      </c>
      <c r="G23" s="284">
        <f>D23-E23+F23</f>
        <v/>
      </c>
      <c r="H23" s="284">
        <f>SUM(G23)</f>
        <v/>
      </c>
      <c r="M23" s="306" t="n">
        <v>36943</v>
      </c>
    </row>
    <row r="24">
      <c r="A24" s="294" t="n"/>
      <c r="B24" s="294" t="n"/>
      <c r="C24" s="295" t="n"/>
      <c r="D24" s="294" t="n"/>
      <c r="E24" s="160" t="n"/>
      <c r="F24" s="289" t="n"/>
      <c r="G24" s="284">
        <f>D24-E24+F24</f>
        <v/>
      </c>
      <c r="H24" s="284" t="n"/>
      <c r="M24" s="298">
        <f>SUM(M21:M23)</f>
        <v/>
      </c>
    </row>
    <row r="25">
      <c r="A25" s="294" t="n"/>
      <c r="B25" s="294" t="n"/>
      <c r="C25" s="295" t="n"/>
      <c r="D25" s="294" t="n"/>
      <c r="E25" s="160" t="n"/>
      <c r="F25" s="289" t="n"/>
      <c r="G25" s="284">
        <f>D25-E25+F25</f>
        <v/>
      </c>
      <c r="H25" s="284" t="n"/>
    </row>
    <row r="26">
      <c r="A26" s="294" t="n">
        <v>290</v>
      </c>
      <c r="B26" s="294" t="n">
        <v>2901</v>
      </c>
      <c r="C26" s="294" t="inlineStr">
        <is>
          <t>מלאי עבודות בביצוע מאזן</t>
        </is>
      </c>
      <c r="D26" s="294" t="n"/>
      <c r="E26" s="160" t="n"/>
      <c r="F26" s="289" t="n">
        <v>33344</v>
      </c>
      <c r="G26" s="284">
        <f>D26-E26+F26</f>
        <v/>
      </c>
      <c r="H26" s="284" t="n"/>
    </row>
    <row r="27">
      <c r="A27" s="294" t="n"/>
      <c r="B27" s="294" t="n"/>
      <c r="C27" s="140" t="inlineStr">
        <is>
          <t>ספקים</t>
        </is>
      </c>
      <c r="D27" s="294" t="n"/>
      <c r="E27" s="160" t="n"/>
      <c r="F27" s="289" t="n"/>
      <c r="G27" s="284">
        <f>D27-E27+F27</f>
        <v/>
      </c>
      <c r="H27" s="284" t="n"/>
    </row>
    <row r="28">
      <c r="A28" s="285" t="n">
        <v>300</v>
      </c>
      <c r="B28" s="286" t="n">
        <v>3004</v>
      </c>
      <c r="C28" s="206" t="inlineStr">
        <is>
          <t>גבס השרון בע"מ</t>
        </is>
      </c>
      <c r="D28" s="208" t="n"/>
      <c r="E28" s="301" t="n">
        <v>4883</v>
      </c>
      <c r="F28" s="289" t="n"/>
      <c r="G28" s="284">
        <f>D28-E28+F28</f>
        <v/>
      </c>
      <c r="H28" s="284" t="n"/>
    </row>
    <row r="29">
      <c r="A29" s="285" t="n">
        <v>300</v>
      </c>
      <c r="B29" s="286" t="n">
        <v>3080</v>
      </c>
      <c r="C29" s="206" t="inlineStr">
        <is>
          <t>סופרדיל לבנין ולבית</t>
        </is>
      </c>
      <c r="D29" s="208" t="n"/>
      <c r="E29" s="299" t="n">
        <v>14007.9</v>
      </c>
      <c r="F29" s="289" t="n"/>
      <c r="G29" s="284">
        <f>D29-E29+F29</f>
        <v/>
      </c>
      <c r="H29" s="284" t="n"/>
    </row>
    <row r="30">
      <c r="A30" s="285" t="n">
        <v>300</v>
      </c>
      <c r="B30" s="286" t="n">
        <v>3241</v>
      </c>
      <c r="C30" s="206" t="inlineStr">
        <is>
          <t>אורלי - משאבי אנרגיה בע"מ</t>
        </is>
      </c>
      <c r="D30" s="208" t="n"/>
      <c r="E30" s="301" t="n">
        <v>1867</v>
      </c>
      <c r="F30" s="289" t="n"/>
      <c r="G30" s="284">
        <f>D30-E30+F30</f>
        <v/>
      </c>
      <c r="H30" s="284" t="n"/>
    </row>
    <row r="31">
      <c r="A31" s="330" t="n">
        <v>100</v>
      </c>
      <c r="B31" s="331" t="n">
        <v>3150</v>
      </c>
      <c r="C31" s="216" t="inlineStr">
        <is>
          <t>ספקים שונים</t>
        </is>
      </c>
      <c r="D31" s="219" t="n"/>
      <c r="E31" s="334" t="n"/>
      <c r="F31" s="289" t="n"/>
      <c r="G31" s="284">
        <f>D31-E31+F31</f>
        <v/>
      </c>
      <c r="H31" s="284" t="n"/>
    </row>
    <row r="32">
      <c r="A32" s="336" t="n">
        <v>350</v>
      </c>
      <c r="B32" s="337" t="n">
        <v>3515</v>
      </c>
      <c r="C32" s="338" t="inlineStr">
        <is>
          <t>מגדל חברה לביטוח</t>
        </is>
      </c>
      <c r="D32" s="339" t="n"/>
      <c r="E32" s="340" t="n"/>
      <c r="F32" s="289" t="n"/>
      <c r="G32" s="284">
        <f>D32-E32+F32</f>
        <v/>
      </c>
      <c r="H32" s="284">
        <f>SUM(G28:G32)</f>
        <v/>
      </c>
    </row>
    <row r="33">
      <c r="A33" s="294" t="n"/>
      <c r="B33" s="294" t="n"/>
      <c r="C33" s="294" t="n"/>
      <c r="D33" s="294" t="n"/>
      <c r="E33" s="294" t="n"/>
      <c r="F33" s="289" t="n"/>
      <c r="G33" s="284">
        <f>D33-E33+F33</f>
        <v/>
      </c>
      <c r="H33" s="284" t="n"/>
    </row>
    <row r="34">
      <c r="A34" s="294" t="n"/>
      <c r="B34" s="294" t="n"/>
      <c r="C34" s="294" t="inlineStr">
        <is>
          <t>הוצאות מראש</t>
        </is>
      </c>
      <c r="D34" s="294" t="n"/>
      <c r="E34" s="294" t="n"/>
      <c r="F34" s="289" t="n"/>
      <c r="G34" s="284">
        <f>D34-E34+F34</f>
        <v/>
      </c>
      <c r="H34" s="284" t="n"/>
    </row>
    <row r="35">
      <c r="A35" s="294" t="n"/>
      <c r="B35" s="294" t="n"/>
      <c r="C35" s="294" t="n"/>
      <c r="D35" s="294" t="n"/>
      <c r="E35" s="294" t="n"/>
      <c r="F35" s="289" t="n"/>
      <c r="G35" s="284">
        <f>D35-E35+F35</f>
        <v/>
      </c>
      <c r="H35" s="284" t="n"/>
    </row>
    <row r="36">
      <c r="A36" s="285" t="n">
        <v>750</v>
      </c>
      <c r="B36" s="286" t="n">
        <v>7550</v>
      </c>
      <c r="C36" s="206" t="inlineStr">
        <is>
          <t>הוצאות לשלם</t>
        </is>
      </c>
      <c r="D36" s="208" t="n"/>
      <c r="E36" s="301" t="n"/>
      <c r="F36" s="289" t="n"/>
      <c r="G36" s="284">
        <f>D36-E36+F36</f>
        <v/>
      </c>
      <c r="H36" s="284" t="n"/>
    </row>
    <row r="37">
      <c r="A37" s="294" t="n"/>
      <c r="B37" s="294" t="n"/>
      <c r="C37" s="294" t="n"/>
      <c r="D37" s="294" t="n"/>
      <c r="E37" s="294" t="n"/>
      <c r="F37" s="289" t="n"/>
      <c r="G37" s="284">
        <f>D37-E37+F37</f>
        <v/>
      </c>
      <c r="H37" s="284" t="n"/>
    </row>
    <row r="38">
      <c r="A38" s="294" t="n"/>
      <c r="B38" s="294" t="n"/>
      <c r="C38" s="294" t="n"/>
      <c r="D38" s="294" t="n"/>
      <c r="E38" s="294" t="n"/>
      <c r="F38" s="289" t="n"/>
      <c r="G38" s="284">
        <f>D38-E38+F38</f>
        <v/>
      </c>
      <c r="H38" s="284" t="n"/>
    </row>
    <row r="39">
      <c r="A39" s="285" t="n">
        <v>360</v>
      </c>
      <c r="B39" s="286" t="n">
        <v>3600</v>
      </c>
      <c r="C39" s="206" t="inlineStr">
        <is>
          <t>מס הכנסה ניכויים</t>
        </is>
      </c>
      <c r="D39" s="208" t="n"/>
      <c r="E39" s="301" t="n">
        <v>6656</v>
      </c>
      <c r="F39" s="289" t="n"/>
      <c r="G39" s="284">
        <f>D39-E39+F39</f>
        <v/>
      </c>
      <c r="H39" s="284" t="n"/>
    </row>
    <row r="40">
      <c r="A40" s="285" t="n">
        <v>360</v>
      </c>
      <c r="B40" s="286" t="n">
        <v>3610</v>
      </c>
      <c r="C40" s="206" t="inlineStr">
        <is>
          <t>ביטוח לאומי ניכויים</t>
        </is>
      </c>
      <c r="D40" s="208" t="n"/>
      <c r="E40" s="301" t="n">
        <v>5935</v>
      </c>
      <c r="F40" s="289" t="n"/>
      <c r="G40" s="284">
        <f>D40-E40+F40</f>
        <v/>
      </c>
      <c r="H40" s="284" t="n"/>
    </row>
    <row r="41">
      <c r="A41" s="285" t="n">
        <v>351</v>
      </c>
      <c r="B41" s="286" t="n">
        <v>3640</v>
      </c>
      <c r="C41" s="206" t="inlineStr">
        <is>
          <t>הפניקס קרן פנסיה</t>
        </is>
      </c>
      <c r="D41" s="208" t="n"/>
      <c r="E41" s="299" t="n">
        <v>10489</v>
      </c>
      <c r="F41" s="289" t="n"/>
      <c r="G41" s="284">
        <f>D41-E41+F41</f>
        <v/>
      </c>
      <c r="H41" s="284" t="n"/>
    </row>
    <row r="42">
      <c r="A42" s="285" t="n">
        <v>370</v>
      </c>
      <c r="B42" s="286" t="n">
        <v>3705</v>
      </c>
      <c r="C42" s="206" t="inlineStr">
        <is>
          <t>אבולפיה שמואל</t>
        </is>
      </c>
      <c r="D42" s="208" t="n"/>
      <c r="E42" s="301" t="n">
        <v>8861</v>
      </c>
      <c r="F42" s="289" t="n"/>
      <c r="G42" s="284">
        <f>D42-E42+F42</f>
        <v/>
      </c>
      <c r="H42" s="284" t="n"/>
    </row>
    <row r="43">
      <c r="A43" s="285" t="n">
        <v>370</v>
      </c>
      <c r="B43" s="286" t="n">
        <v>3707</v>
      </c>
      <c r="C43" s="206" t="inlineStr">
        <is>
          <t>ראובן לוסי</t>
        </is>
      </c>
      <c r="D43" s="208" t="n"/>
      <c r="E43" s="297" t="n">
        <v>300</v>
      </c>
      <c r="F43" s="289" t="n"/>
      <c r="G43" s="284">
        <f>D43-E43+F43</f>
        <v/>
      </c>
      <c r="H43" s="284" t="n"/>
    </row>
    <row r="44">
      <c r="A44" s="285" t="n">
        <v>370</v>
      </c>
      <c r="B44" s="286" t="n">
        <v>3717</v>
      </c>
      <c r="C44" s="206" t="inlineStr">
        <is>
          <t>מוריוסף אשר</t>
        </is>
      </c>
      <c r="D44" s="208" t="n"/>
      <c r="E44" s="301" t="n">
        <v>4988</v>
      </c>
      <c r="F44" s="289" t="n"/>
      <c r="G44" s="284">
        <f>D44-E44+F44</f>
        <v/>
      </c>
      <c r="H44" s="284" t="n"/>
    </row>
    <row r="45">
      <c r="A45" s="285" t="n">
        <v>370</v>
      </c>
      <c r="B45" s="286" t="n">
        <v>3731</v>
      </c>
      <c r="C45" s="206" t="inlineStr">
        <is>
          <t>ראובן רחמים</t>
        </is>
      </c>
      <c r="D45" s="208" t="n"/>
      <c r="E45" s="299" t="n">
        <v>17442</v>
      </c>
      <c r="F45" s="289" t="n"/>
      <c r="G45" s="284">
        <f>D45-E45+F45</f>
        <v/>
      </c>
      <c r="H45" s="284" t="n"/>
    </row>
    <row r="46">
      <c r="A46" s="285" t="n">
        <v>370</v>
      </c>
      <c r="B46" s="286" t="n">
        <v>3733</v>
      </c>
      <c r="C46" s="206" t="inlineStr">
        <is>
          <t>אלעד ראובן</t>
        </is>
      </c>
      <c r="D46" s="208" t="n"/>
      <c r="E46" s="301" t="n">
        <v>5300</v>
      </c>
      <c r="F46" s="289" t="n"/>
      <c r="G46" s="284">
        <f>D46-E46+F46</f>
        <v/>
      </c>
      <c r="H46" s="284" t="n"/>
    </row>
    <row r="47">
      <c r="A47" s="330" t="n">
        <v>370</v>
      </c>
      <c r="B47" s="331" t="n">
        <v>3733</v>
      </c>
      <c r="C47" s="216" t="inlineStr">
        <is>
          <t>אלעד ראובן</t>
        </is>
      </c>
      <c r="D47" s="219" t="n"/>
      <c r="E47" s="334" t="n"/>
      <c r="F47" s="289" t="n"/>
      <c r="G47" s="284">
        <f>D47-E47+F47</f>
        <v/>
      </c>
      <c r="H47" s="284" t="n"/>
    </row>
    <row r="48">
      <c r="A48" s="341" t="n">
        <v>370</v>
      </c>
      <c r="B48" s="342" t="n">
        <v>3733</v>
      </c>
      <c r="C48" s="229" t="inlineStr">
        <is>
          <t>אלעד ראובן</t>
        </is>
      </c>
      <c r="D48" s="230" t="n"/>
      <c r="E48" s="343" t="n"/>
      <c r="F48" s="289" t="n"/>
      <c r="G48" s="284">
        <f>D48-E48+F48</f>
        <v/>
      </c>
      <c r="H48" s="284" t="n"/>
    </row>
    <row r="49">
      <c r="A49" s="336" t="n">
        <v>370</v>
      </c>
      <c r="B49" s="337" t="n">
        <v>3731</v>
      </c>
      <c r="C49" s="338" t="inlineStr">
        <is>
          <t>ראובן רחמים</t>
        </is>
      </c>
      <c r="D49" s="340" t="n"/>
      <c r="E49" s="339" t="n"/>
      <c r="F49" s="289" t="n"/>
      <c r="G49" s="284">
        <f>D49-E49+F49</f>
        <v/>
      </c>
      <c r="H49" s="284">
        <f>SUM(G39:G49)</f>
        <v/>
      </c>
    </row>
    <row r="50">
      <c r="A50" s="294" t="n"/>
      <c r="B50" s="294" t="n"/>
      <c r="C50" s="140" t="inlineStr">
        <is>
          <t>אגף המכס והבלו</t>
        </is>
      </c>
      <c r="D50" s="294" t="n"/>
      <c r="E50" s="160" t="n"/>
      <c r="F50" s="289" t="n"/>
      <c r="G50" s="284">
        <f>D50-E50+F50</f>
        <v/>
      </c>
      <c r="H50" s="284" t="n"/>
    </row>
    <row r="51">
      <c r="A51" s="285" t="n">
        <v>500</v>
      </c>
      <c r="B51" s="286" t="n">
        <v>5000</v>
      </c>
      <c r="C51" s="206" t="inlineStr">
        <is>
          <t>מעמ תשומות</t>
        </is>
      </c>
      <c r="D51" s="301" t="n">
        <v>2635.88</v>
      </c>
      <c r="E51" s="208" t="n"/>
      <c r="F51" s="289" t="n"/>
      <c r="G51" s="284">
        <f>D51-E51+F51</f>
        <v/>
      </c>
      <c r="H51" s="284" t="n"/>
    </row>
    <row r="52">
      <c r="A52" s="285" t="n">
        <v>500</v>
      </c>
      <c r="B52" s="286" t="n">
        <v>5040</v>
      </c>
      <c r="C52" s="206" t="inlineStr">
        <is>
          <t>חוז מעמ</t>
        </is>
      </c>
      <c r="D52" s="208" t="n"/>
      <c r="E52" s="299" t="n">
        <v>33323</v>
      </c>
      <c r="F52" s="289" t="n"/>
      <c r="G52" s="284">
        <f>D52-E52+F52</f>
        <v/>
      </c>
      <c r="H52" s="284" t="n"/>
    </row>
    <row r="53">
      <c r="A53" s="290" t="n"/>
      <c r="B53" s="291" t="n"/>
      <c r="C53" s="292" t="n"/>
      <c r="D53" s="304" t="n"/>
      <c r="E53" s="311" t="n"/>
      <c r="F53" s="289" t="n"/>
      <c r="G53" s="284">
        <f>D53-E53+F53</f>
        <v/>
      </c>
      <c r="H53" s="284">
        <f>SUM(G51:G53)</f>
        <v/>
      </c>
    </row>
    <row r="54">
      <c r="A54" s="294" t="n"/>
      <c r="B54" s="294" t="n"/>
      <c r="C54" s="295" t="n"/>
      <c r="D54" s="294" t="n"/>
      <c r="E54" s="160" t="n"/>
      <c r="F54" s="289" t="n"/>
      <c r="G54" s="284">
        <f>D54-E54+F54</f>
        <v/>
      </c>
      <c r="H54" s="284" t="n"/>
    </row>
    <row r="55">
      <c r="A55" s="285" t="n">
        <v>510</v>
      </c>
      <c r="B55" s="286" t="n">
        <v>5100</v>
      </c>
      <c r="C55" s="206" t="inlineStr">
        <is>
          <t>ראובן מירון</t>
        </is>
      </c>
      <c r="D55" s="208" t="n"/>
      <c r="E55" s="301" t="n">
        <v>9586.67</v>
      </c>
      <c r="F55" s="289" t="n"/>
      <c r="G55" s="284">
        <f>D55-E55+F55</f>
        <v/>
      </c>
      <c r="H55" s="284" t="n"/>
    </row>
    <row r="56">
      <c r="A56" s="294" t="n"/>
      <c r="B56" s="294" t="n"/>
      <c r="C56" s="295" t="n"/>
      <c r="D56" s="294" t="n"/>
      <c r="E56" s="160" t="n"/>
      <c r="F56" s="289" t="n"/>
      <c r="G56" s="284">
        <f>D56-E56+F56</f>
        <v/>
      </c>
      <c r="H56" s="284" t="n"/>
    </row>
    <row r="57">
      <c r="A57" s="312" t="n">
        <v>400</v>
      </c>
      <c r="B57" s="313" t="n">
        <v>4000</v>
      </c>
      <c r="C57" s="314" t="inlineStr">
        <is>
          <t>הון מניות</t>
        </is>
      </c>
      <c r="D57" s="315" t="n"/>
      <c r="E57" s="316" t="n">
        <v>100</v>
      </c>
      <c r="F57" s="289" t="n"/>
      <c r="G57" s="284">
        <f>D57-E57+F57</f>
        <v/>
      </c>
      <c r="H57" s="284" t="n"/>
    </row>
    <row r="58">
      <c r="A58" s="285" t="n">
        <v>450</v>
      </c>
      <c r="B58" s="286" t="n">
        <v>4500</v>
      </c>
      <c r="C58" s="206" t="inlineStr">
        <is>
          <t>חשבון רווח/הפסד</t>
        </is>
      </c>
      <c r="D58" s="208" t="n"/>
      <c r="E58" s="352" t="n">
        <v>1167736.01</v>
      </c>
      <c r="F58" s="289" t="n"/>
      <c r="G58" s="284">
        <f>D58-E58+F58</f>
        <v/>
      </c>
      <c r="H58" s="284" t="n"/>
    </row>
    <row r="59">
      <c r="A59" s="317" t="n"/>
      <c r="B59" s="317" t="n"/>
      <c r="C59" s="317" t="n"/>
      <c r="D59" s="317" t="n"/>
      <c r="E59" s="317" t="n"/>
      <c r="F59" s="317" t="n"/>
      <c r="G59" s="284">
        <f>D59-E59+F59</f>
        <v/>
      </c>
      <c r="H59" s="284" t="n"/>
    </row>
    <row r="60">
      <c r="A60" s="317" t="n"/>
      <c r="B60" s="317" t="n"/>
      <c r="C60" s="317" t="n"/>
      <c r="D60" s="317" t="n"/>
      <c r="E60" s="317" t="n"/>
      <c r="F60" s="317" t="n"/>
      <c r="G60" s="284">
        <f>D60-E60+F60</f>
        <v/>
      </c>
      <c r="H60" s="284" t="n"/>
    </row>
    <row r="61">
      <c r="A61" s="285" t="n">
        <v>600</v>
      </c>
      <c r="B61" s="286" t="n">
        <v>6000</v>
      </c>
      <c r="C61" s="206" t="inlineStr">
        <is>
          <t>הכנסות</t>
        </is>
      </c>
      <c r="D61" s="208" t="n"/>
      <c r="E61" s="287" t="n">
        <v>340180.34</v>
      </c>
      <c r="F61" s="317" t="n"/>
      <c r="G61" s="284">
        <f>D61-E61+F61</f>
        <v/>
      </c>
      <c r="H61" s="284" t="n"/>
    </row>
    <row r="62">
      <c r="A62" s="285" t="n">
        <v>600</v>
      </c>
      <c r="B62" s="286" t="n">
        <v>6008</v>
      </c>
      <c r="C62" s="206" t="inlineStr">
        <is>
          <t>הכנסות מניקוי אוניות פחם - חברת החשמל</t>
        </is>
      </c>
      <c r="D62" s="208" t="n"/>
      <c r="E62" s="287" t="n">
        <v>429924.79</v>
      </c>
      <c r="F62" s="289" t="n"/>
      <c r="G62" s="284">
        <f>D62-E62+F62</f>
        <v/>
      </c>
      <c r="H62" s="284" t="n"/>
    </row>
    <row r="63">
      <c r="A63" s="285" t="n">
        <v>600</v>
      </c>
      <c r="B63" s="286" t="n">
        <v>6010</v>
      </c>
      <c r="C63" s="206" t="inlineStr">
        <is>
          <t>הכנסות - החברה הלאומית לאספקת פחם</t>
        </is>
      </c>
      <c r="D63" s="208" t="n"/>
      <c r="E63" s="299" t="n">
        <v>18800</v>
      </c>
      <c r="F63" s="289" t="n"/>
      <c r="G63" s="284">
        <f>D63-E63+F63</f>
        <v/>
      </c>
      <c r="H63" s="284">
        <f>SUM(G61:G64)</f>
        <v/>
      </c>
    </row>
    <row r="64" customFormat="1" s="298">
      <c r="A64" s="285" t="n">
        <v>610</v>
      </c>
      <c r="B64" s="286" t="n">
        <v>6250</v>
      </c>
      <c r="C64" s="206" t="inlineStr">
        <is>
          <t>מכירת ציוד חייב מעמ</t>
        </is>
      </c>
      <c r="D64" s="208" t="n"/>
      <c r="E64" s="301" t="n">
        <v>4017.09</v>
      </c>
      <c r="F64" s="289" t="n">
        <v>4017.09</v>
      </c>
      <c r="G64" s="284">
        <f>D64-E64+F64</f>
        <v/>
      </c>
      <c r="H64" s="284" t="n"/>
    </row>
    <row r="65" customFormat="1" s="298">
      <c r="A65" s="290" t="n"/>
      <c r="B65" s="291" t="n"/>
      <c r="C65" s="292" t="n"/>
      <c r="D65" s="304" t="n"/>
      <c r="E65" s="318" t="n"/>
      <c r="F65" s="289" t="n"/>
      <c r="G65" s="284" t="n"/>
      <c r="H65" s="284" t="n"/>
    </row>
    <row r="66">
      <c r="A66" s="285" t="n">
        <v>650</v>
      </c>
      <c r="B66" s="286" t="n">
        <v>6500</v>
      </c>
      <c r="C66" s="206" t="inlineStr">
        <is>
          <t>קניות</t>
        </is>
      </c>
      <c r="D66" s="287" t="n">
        <v>107841.42</v>
      </c>
      <c r="E66" s="294" t="n"/>
      <c r="F66" s="289" t="n"/>
      <c r="G66" s="284">
        <f>D66-E66+F66</f>
        <v/>
      </c>
      <c r="H66" s="284" t="n"/>
    </row>
    <row r="67">
      <c r="A67" s="285" t="n">
        <v>660</v>
      </c>
      <c r="B67" s="286" t="n">
        <v>6600</v>
      </c>
      <c r="C67" s="206" t="inlineStr">
        <is>
          <t>קבלני משנה</t>
        </is>
      </c>
      <c r="D67" s="301" t="n">
        <v>8150</v>
      </c>
      <c r="E67" s="294" t="n"/>
      <c r="F67" s="289" t="n"/>
      <c r="G67" s="284">
        <f>D67-E67+F67</f>
        <v/>
      </c>
      <c r="H67" s="284" t="n"/>
    </row>
    <row r="68">
      <c r="A68" s="336" t="n">
        <v>660</v>
      </c>
      <c r="B68" s="337" t="n">
        <v>6605</v>
      </c>
      <c r="C68" s="338" t="inlineStr">
        <is>
          <t>פינוי פסולת</t>
        </is>
      </c>
      <c r="D68" s="339" t="n"/>
      <c r="E68" s="294" t="n"/>
      <c r="F68" s="289" t="n"/>
      <c r="G68" s="284">
        <f>D68-E68+F68</f>
        <v/>
      </c>
      <c r="H68" s="284" t="n"/>
    </row>
    <row r="69">
      <c r="A69" s="341" t="n">
        <v>730</v>
      </c>
      <c r="B69" s="342" t="n">
        <v>7301</v>
      </c>
      <c r="C69" s="229" t="inlineStr">
        <is>
          <t>כלי עבודה</t>
        </is>
      </c>
      <c r="D69" s="343" t="n"/>
      <c r="E69" s="294" t="n"/>
      <c r="F69" s="289" t="n"/>
      <c r="G69" s="284">
        <f>D69-E69+F69</f>
        <v/>
      </c>
      <c r="H69" s="284">
        <f>SUM(G66:G69)</f>
        <v/>
      </c>
    </row>
    <row r="70">
      <c r="A70" s="300" t="n"/>
      <c r="B70" s="300" t="n"/>
      <c r="C70" s="302" t="n"/>
      <c r="D70" s="170" t="n"/>
      <c r="E70" s="294" t="n"/>
      <c r="F70" s="289" t="n"/>
      <c r="G70" s="284">
        <f>D70-E70+F70</f>
        <v/>
      </c>
      <c r="H70" s="284" t="n"/>
    </row>
    <row r="71">
      <c r="A71" s="285" t="n">
        <v>670</v>
      </c>
      <c r="B71" s="286" t="n">
        <v>6700</v>
      </c>
      <c r="C71" s="206" t="inlineStr">
        <is>
          <t>מלאי פתיחה רווח והפסד</t>
        </is>
      </c>
      <c r="D71" s="299" t="n">
        <v>27815</v>
      </c>
      <c r="E71" s="300" t="n"/>
      <c r="F71" s="294" t="n"/>
      <c r="G71" s="284">
        <f>D71-E71+F71</f>
        <v/>
      </c>
      <c r="H71" s="284" t="n"/>
    </row>
    <row r="72">
      <c r="A72" s="320" t="n">
        <v>720</v>
      </c>
      <c r="B72" s="321" t="n">
        <v>6800</v>
      </c>
      <c r="C72" s="164" t="inlineStr">
        <is>
          <t>מלאי  סגירה רווח והפסד</t>
        </is>
      </c>
      <c r="D72" s="165" t="n"/>
      <c r="E72" s="322" t="n"/>
      <c r="F72" s="294" t="n">
        <v>-33344</v>
      </c>
      <c r="G72" s="284">
        <f>D72-E72+F72</f>
        <v/>
      </c>
      <c r="H72" s="284">
        <f>SUM(G71:G72)</f>
        <v/>
      </c>
    </row>
    <row r="73">
      <c r="A73" s="317" t="n"/>
      <c r="B73" s="294" t="n"/>
      <c r="C73" s="295" t="n"/>
      <c r="D73" s="294" t="n"/>
      <c r="E73" s="294" t="n"/>
      <c r="F73" s="294" t="n"/>
      <c r="G73" s="284">
        <f>D73-E73+F73</f>
        <v/>
      </c>
      <c r="H73" s="284" t="n"/>
    </row>
    <row r="74">
      <c r="A74" s="285" t="n">
        <v>700</v>
      </c>
      <c r="B74" s="286" t="n">
        <v>7000</v>
      </c>
      <c r="C74" s="206" t="inlineStr">
        <is>
          <t>שכר עבודה</t>
        </is>
      </c>
      <c r="D74" s="287" t="n">
        <v>427143</v>
      </c>
      <c r="E74" s="208" t="n"/>
      <c r="F74" s="289" t="n"/>
      <c r="G74" s="284">
        <f>D74-E74+F74</f>
        <v/>
      </c>
      <c r="H74" s="284" t="n"/>
    </row>
    <row r="75">
      <c r="A75" s="285" t="n">
        <v>700</v>
      </c>
      <c r="B75" s="286" t="n">
        <v>7001</v>
      </c>
      <c r="C75" s="206" t="inlineStr">
        <is>
          <t>סוציאליות</t>
        </is>
      </c>
      <c r="D75" s="299" t="n">
        <v>19652</v>
      </c>
      <c r="E75" s="208" t="n"/>
      <c r="F75" s="289" t="n"/>
      <c r="G75" s="284">
        <f>D75-E75+F75</f>
        <v/>
      </c>
      <c r="H75" s="284" t="n"/>
      <c r="J75" s="298">
        <f>SUM(G62:G112)</f>
        <v/>
      </c>
    </row>
    <row r="76">
      <c r="A76" s="285" t="n">
        <v>700</v>
      </c>
      <c r="B76" s="286" t="n">
        <v>7002</v>
      </c>
      <c r="C76" s="206" t="inlineStr">
        <is>
          <t>גמל מעביד</t>
        </is>
      </c>
      <c r="D76" s="299" t="n">
        <v>20820</v>
      </c>
      <c r="E76" s="208" t="n"/>
      <c r="F76" s="289" t="n"/>
      <c r="G76" s="284">
        <f>D76-E76+F76</f>
        <v/>
      </c>
      <c r="H76" s="284" t="n"/>
    </row>
    <row r="77">
      <c r="A77" s="285" t="n">
        <v>700</v>
      </c>
      <c r="B77" s="286" t="n">
        <v>7006</v>
      </c>
      <c r="C77" s="206" t="inlineStr">
        <is>
          <t>הוצ גמל פיצויים</t>
        </is>
      </c>
      <c r="D77" s="299" t="n">
        <v>24624</v>
      </c>
      <c r="E77" s="208" t="n"/>
      <c r="F77" s="289" t="n"/>
      <c r="G77" s="284">
        <f>D77-E77+F77</f>
        <v/>
      </c>
      <c r="H77" s="284" t="n"/>
    </row>
    <row r="78">
      <c r="A78" s="285" t="n">
        <v>700</v>
      </c>
      <c r="B78" s="286" t="n">
        <v>7010</v>
      </c>
      <c r="C78" s="206" t="inlineStr">
        <is>
          <t>הכנסות זקופות</t>
        </is>
      </c>
      <c r="D78" s="208" t="n"/>
      <c r="E78" s="301" t="n">
        <v>2526</v>
      </c>
      <c r="F78" s="289" t="n"/>
      <c r="G78" s="284">
        <f>D78-E78+F78</f>
        <v/>
      </c>
      <c r="H78" s="284" t="n"/>
    </row>
    <row r="79">
      <c r="A79" s="330" t="n">
        <v>700</v>
      </c>
      <c r="B79" s="331" t="n">
        <v>7020</v>
      </c>
      <c r="C79" s="216" t="inlineStr">
        <is>
          <t>הוצאות פיצויים (בתלוש)</t>
        </is>
      </c>
      <c r="D79" s="332" t="n"/>
      <c r="E79" s="219" t="n"/>
      <c r="F79" s="289" t="n"/>
      <c r="G79" s="284">
        <f>D79-E79+F79</f>
        <v/>
      </c>
      <c r="H79" s="284" t="n"/>
    </row>
    <row r="80">
      <c r="A80" s="290" t="n"/>
      <c r="B80" s="291" t="n"/>
      <c r="C80" s="292" t="n"/>
      <c r="D80" s="323" t="n"/>
      <c r="E80" s="294" t="n"/>
      <c r="F80" s="289" t="n"/>
      <c r="G80" s="284">
        <f>D80-E80+F80</f>
        <v/>
      </c>
      <c r="H80" s="284">
        <f>SUM(G74:G80)</f>
        <v/>
      </c>
    </row>
    <row r="81">
      <c r="A81" s="294" t="n"/>
      <c r="B81" s="294" t="n"/>
      <c r="C81" s="295" t="n"/>
      <c r="D81" s="160" t="n"/>
      <c r="E81" s="294" t="n"/>
      <c r="F81" s="289" t="n"/>
      <c r="G81" s="284">
        <f>D81-E81+F81</f>
        <v/>
      </c>
      <c r="H81" s="284" t="n"/>
    </row>
    <row r="82">
      <c r="A82" s="285" t="n">
        <v>720</v>
      </c>
      <c r="B82" s="286" t="n">
        <v>7251</v>
      </c>
      <c r="C82" s="206" t="inlineStr">
        <is>
          <t>השתלמויות וקורסים</t>
        </is>
      </c>
      <c r="D82" s="299" t="n"/>
      <c r="E82" s="300" t="n"/>
      <c r="F82" s="289" t="n"/>
      <c r="G82" s="284">
        <f>D82-E82+F82</f>
        <v/>
      </c>
      <c r="H82" s="284" t="n"/>
    </row>
    <row r="83">
      <c r="A83" s="330" t="n">
        <v>720</v>
      </c>
      <c r="B83" s="331" t="n">
        <v>7200</v>
      </c>
      <c r="C83" s="216" t="inlineStr">
        <is>
          <t>משרדיות</t>
        </is>
      </c>
      <c r="D83" s="334" t="n"/>
      <c r="E83" s="300" t="n"/>
      <c r="F83" s="289" t="n"/>
      <c r="G83" s="284">
        <f>D83-E83+F83</f>
        <v/>
      </c>
      <c r="H83" s="284">
        <f>SUM(G82:G83)</f>
        <v/>
      </c>
    </row>
    <row r="84">
      <c r="A84" s="294" t="n"/>
      <c r="B84" s="294" t="n"/>
      <c r="C84" s="295" t="n"/>
      <c r="D84" s="160" t="n"/>
      <c r="E84" s="300" t="n"/>
      <c r="F84" s="289" t="n"/>
      <c r="G84" s="284" t="n"/>
      <c r="H84" s="284" t="n"/>
    </row>
    <row r="85">
      <c r="A85" s="285" t="n">
        <v>720</v>
      </c>
      <c r="B85" s="286" t="n">
        <v>7204</v>
      </c>
      <c r="C85" s="206" t="inlineStr">
        <is>
          <t>אגרות</t>
        </is>
      </c>
      <c r="D85" s="301" t="n">
        <v>1137</v>
      </c>
      <c r="E85" s="300" t="n"/>
      <c r="F85" s="289" t="n"/>
      <c r="G85" s="284">
        <f>D85-E85+F85</f>
        <v/>
      </c>
      <c r="H85" s="284">
        <f>SUM(G83:G85)</f>
        <v/>
      </c>
    </row>
    <row r="86">
      <c r="A86" s="317" t="n"/>
      <c r="B86" s="317" t="n"/>
      <c r="C86" s="317" t="n"/>
      <c r="D86" s="317" t="n"/>
      <c r="E86" s="317" t="n"/>
      <c r="F86" s="317" t="n"/>
      <c r="G86" s="284">
        <f>D86-E86+F86</f>
        <v/>
      </c>
      <c r="H86" s="284" t="n"/>
    </row>
    <row r="87">
      <c r="A87" s="285" t="n">
        <v>720</v>
      </c>
      <c r="B87" s="286" t="n">
        <v>7206</v>
      </c>
      <c r="C87" s="206" t="inlineStr">
        <is>
          <t>שכ"ט ומשפטיות</t>
        </is>
      </c>
      <c r="D87" s="299" t="n"/>
      <c r="E87" s="300" t="n"/>
      <c r="F87" s="289" t="n"/>
      <c r="G87" s="284">
        <f>D87-E87+F87</f>
        <v/>
      </c>
      <c r="H87" s="284" t="n"/>
    </row>
    <row r="88">
      <c r="A88" s="285" t="n">
        <v>720</v>
      </c>
      <c r="B88" s="286" t="n">
        <v>7250</v>
      </c>
      <c r="C88" s="206" t="inlineStr">
        <is>
          <t>הנהח וביקורת</t>
        </is>
      </c>
      <c r="D88" s="301" t="n">
        <v>6837.61</v>
      </c>
      <c r="E88" s="300" t="n"/>
      <c r="F88" s="289" t="n"/>
      <c r="G88" s="284">
        <f>D88-E88+F88</f>
        <v/>
      </c>
      <c r="H88" s="284">
        <f>SUM(G87:G88)</f>
        <v/>
      </c>
    </row>
    <row r="89">
      <c r="A89" s="300" t="n"/>
      <c r="B89" s="300" t="n"/>
      <c r="C89" s="300" t="n"/>
      <c r="D89" s="300" t="n"/>
      <c r="E89" s="300" t="n"/>
      <c r="F89" s="289" t="n"/>
      <c r="G89" s="284">
        <f>D89-E89+F89</f>
        <v/>
      </c>
      <c r="H89" s="284" t="n"/>
    </row>
    <row r="90">
      <c r="A90" s="285" t="n">
        <v>720</v>
      </c>
      <c r="B90" s="286" t="n">
        <v>7210</v>
      </c>
      <c r="C90" s="206" t="inlineStr">
        <is>
          <t>טלפון ותקשורת</t>
        </is>
      </c>
      <c r="D90" s="301" t="n">
        <v>3209.11</v>
      </c>
      <c r="E90" s="300" t="n"/>
      <c r="F90" s="289" t="n"/>
      <c r="G90" s="284">
        <f>D90-E90+F90</f>
        <v/>
      </c>
      <c r="H90" s="284" t="n"/>
    </row>
    <row r="91">
      <c r="A91" s="300" t="n"/>
      <c r="B91" s="300" t="n"/>
      <c r="C91" s="300" t="n"/>
      <c r="D91" s="300" t="n"/>
      <c r="E91" s="300" t="n"/>
      <c r="F91" s="289" t="n"/>
      <c r="G91" s="284">
        <f>D91-E91+F91</f>
        <v/>
      </c>
      <c r="H91" s="284" t="n"/>
    </row>
    <row r="92">
      <c r="A92" s="320" t="n">
        <v>730</v>
      </c>
      <c r="B92" s="321" t="n">
        <v>7302</v>
      </c>
      <c r="C92" s="164" t="inlineStr">
        <is>
          <t>הובלות</t>
        </is>
      </c>
      <c r="D92" s="325" t="n"/>
      <c r="E92" s="300" t="n"/>
      <c r="F92" s="289" t="n"/>
      <c r="G92" s="284">
        <f>D92-E92+F92</f>
        <v/>
      </c>
      <c r="H92" s="284" t="n"/>
    </row>
    <row r="93">
      <c r="A93" s="300" t="n"/>
      <c r="B93" s="300" t="n"/>
      <c r="C93" s="300" t="n"/>
      <c r="D93" s="300" t="n"/>
      <c r="E93" s="300" t="n"/>
      <c r="F93" s="289" t="n"/>
      <c r="G93" s="284">
        <f>D93-E93+F93</f>
        <v/>
      </c>
      <c r="H93" s="284" t="n"/>
    </row>
    <row r="94">
      <c r="A94" s="285" t="n">
        <v>720</v>
      </c>
      <c r="B94" s="286" t="n">
        <v>7201</v>
      </c>
      <c r="C94" s="206" t="inlineStr">
        <is>
          <t>ביטוחים</t>
        </is>
      </c>
      <c r="D94" s="299" t="n">
        <v>25680</v>
      </c>
      <c r="E94" s="300" t="n"/>
      <c r="F94" s="289" t="n"/>
      <c r="G94" s="284">
        <f>D94-E94+F94</f>
        <v/>
      </c>
      <c r="H94" s="284" t="n"/>
    </row>
    <row r="95">
      <c r="A95" s="300" t="n">
        <v>720</v>
      </c>
      <c r="B95" s="300" t="n">
        <v>7251</v>
      </c>
      <c r="C95" s="302" t="inlineStr">
        <is>
          <t>השתלמויות וקורסים</t>
        </is>
      </c>
      <c r="D95" s="170" t="n"/>
      <c r="E95" s="300" t="n"/>
      <c r="F95" s="289" t="n"/>
      <c r="G95" s="284">
        <f>D95-E95+F95</f>
        <v/>
      </c>
      <c r="H95" s="284" t="n"/>
    </row>
    <row r="96">
      <c r="A96" s="320" t="n">
        <v>720</v>
      </c>
      <c r="B96" s="321" t="n">
        <v>7207</v>
      </c>
      <c r="C96" s="164" t="inlineStr">
        <is>
          <t>בטיחות בעבודה</t>
        </is>
      </c>
      <c r="D96" s="325" t="n"/>
      <c r="E96" s="300" t="n"/>
      <c r="F96" s="289" t="n"/>
      <c r="G96" s="284">
        <f>D96-E96+F96</f>
        <v/>
      </c>
      <c r="H96" s="284" t="n"/>
    </row>
    <row r="97">
      <c r="A97" s="285" t="n">
        <v>720</v>
      </c>
      <c r="B97" s="286" t="n">
        <v>7221</v>
      </c>
      <c r="C97" s="206" t="inlineStr">
        <is>
          <t>בדיקות תקופתיות</t>
        </is>
      </c>
      <c r="D97" s="301" t="n">
        <v>3589.74</v>
      </c>
      <c r="E97" s="300" t="n"/>
      <c r="F97" s="289" t="n"/>
      <c r="G97" s="284">
        <f>D97-E97+F97</f>
        <v/>
      </c>
      <c r="H97" s="284" t="n"/>
    </row>
    <row r="98">
      <c r="A98" s="330" t="n">
        <v>730</v>
      </c>
      <c r="B98" s="331" t="n">
        <v>7300</v>
      </c>
      <c r="C98" s="216" t="inlineStr">
        <is>
          <t>אחזקה ותיקונים - ציוד</t>
        </is>
      </c>
      <c r="D98" s="335" t="n"/>
      <c r="E98" s="300" t="n"/>
      <c r="F98" s="289" t="n"/>
      <c r="G98" s="284">
        <f>D98-E98+F98</f>
        <v/>
      </c>
      <c r="H98" s="284">
        <f>SUM(G96:G98)</f>
        <v/>
      </c>
    </row>
    <row r="99">
      <c r="A99" s="294" t="n">
        <v>750</v>
      </c>
      <c r="B99" s="294" t="n">
        <v>7500</v>
      </c>
      <c r="C99" s="295" t="inlineStr">
        <is>
          <t>הוצאות פחת</t>
        </is>
      </c>
      <c r="D99" s="160" t="n"/>
      <c r="E99" s="294" t="n"/>
      <c r="F99" s="289" t="n">
        <v>17394</v>
      </c>
      <c r="G99" s="284">
        <f>D99-E99+F99</f>
        <v/>
      </c>
      <c r="H99" s="284" t="n"/>
    </row>
    <row r="100">
      <c r="A100" s="294" t="n"/>
      <c r="B100" s="294" t="n"/>
      <c r="C100" s="295" t="n"/>
      <c r="D100" s="160" t="n"/>
      <c r="E100" s="294" t="n"/>
      <c r="F100" s="289" t="n"/>
      <c r="G100" s="284">
        <f>D100-E100+F100</f>
        <v/>
      </c>
      <c r="H100" s="284" t="n"/>
    </row>
    <row r="101">
      <c r="A101" s="285" t="n">
        <v>760</v>
      </c>
      <c r="B101" s="286" t="n">
        <v>7600</v>
      </c>
      <c r="C101" s="206" t="inlineStr">
        <is>
          <t>24-388-73  יונדאי דלק    (10.2016)</t>
        </is>
      </c>
      <c r="D101" s="299" t="n">
        <v>14906.97</v>
      </c>
      <c r="E101" s="294" t="n"/>
      <c r="F101" s="289" t="n"/>
      <c r="G101" s="284">
        <f>D101-E101+F101</f>
        <v/>
      </c>
      <c r="H101" s="284" t="n"/>
    </row>
    <row r="102">
      <c r="A102" s="285" t="n">
        <v>760</v>
      </c>
      <c r="B102" s="286" t="n">
        <v>7601</v>
      </c>
      <c r="C102" s="206" t="inlineStr">
        <is>
          <t>24-388-73  יונדאי הוצ שוטפות    (10.2016)</t>
        </is>
      </c>
      <c r="D102" s="297" t="n">
        <v>556.35</v>
      </c>
      <c r="E102" s="294" t="n"/>
      <c r="F102" s="289" t="n"/>
      <c r="G102" s="284">
        <f>D102-E102+F102</f>
        <v/>
      </c>
      <c r="H102" s="284" t="n"/>
    </row>
    <row r="103">
      <c r="A103" s="285" t="n">
        <v>760</v>
      </c>
      <c r="B103" s="286" t="n">
        <v>7602</v>
      </c>
      <c r="C103" s="206" t="inlineStr">
        <is>
          <t>24-388-73  יונדאי ביטוחים    (10.2016)</t>
        </is>
      </c>
      <c r="D103" s="301" t="n">
        <v>4105</v>
      </c>
      <c r="E103" s="294" t="n"/>
      <c r="F103" s="289" t="n"/>
      <c r="G103" s="284">
        <f>D103-E103+F103</f>
        <v/>
      </c>
      <c r="H103" s="284">
        <f>SUM(G101:G103)</f>
        <v/>
      </c>
    </row>
    <row r="104">
      <c r="A104" s="300" t="n"/>
      <c r="B104" s="300" t="n"/>
      <c r="C104" s="302" t="n"/>
      <c r="D104" s="170" t="n"/>
      <c r="E104" s="300" t="n"/>
      <c r="F104" s="289" t="n"/>
      <c r="G104" s="284">
        <f>D104-E104+F104</f>
        <v/>
      </c>
      <c r="H104" s="284" t="n"/>
    </row>
    <row r="105">
      <c r="A105" s="285" t="n">
        <v>301</v>
      </c>
      <c r="B105" s="286" t="n">
        <v>5102</v>
      </c>
      <c r="C105" s="206" t="inlineStr">
        <is>
          <t>ראובן רחמים חיים  - דיבידנד</t>
        </is>
      </c>
      <c r="D105" s="287" t="n">
        <v>285714</v>
      </c>
      <c r="E105" s="300" t="n"/>
      <c r="F105" s="289" t="n"/>
      <c r="G105" s="284">
        <f>D105-E105+F105</f>
        <v/>
      </c>
      <c r="H105" s="284" t="n"/>
    </row>
    <row r="106">
      <c r="A106" s="300" t="n"/>
      <c r="B106" s="300" t="n"/>
      <c r="C106" s="302" t="inlineStr">
        <is>
          <t>הפסד הון</t>
        </is>
      </c>
      <c r="D106" s="170" t="n"/>
      <c r="E106" s="300" t="n"/>
      <c r="F106" s="289" t="n">
        <v>-3670</v>
      </c>
      <c r="G106" s="284">
        <f>D106-E106+F106</f>
        <v/>
      </c>
      <c r="H106" s="284" t="n"/>
    </row>
    <row r="107">
      <c r="A107" s="300" t="n"/>
      <c r="B107" s="300" t="n"/>
      <c r="C107" s="302" t="n"/>
      <c r="D107" s="170" t="n"/>
      <c r="E107" s="300" t="n"/>
      <c r="F107" s="289" t="n"/>
      <c r="G107" s="284" t="n"/>
      <c r="H107" s="284" t="n"/>
    </row>
    <row r="108">
      <c r="A108" s="285" t="n">
        <v>790</v>
      </c>
      <c r="B108" s="286" t="n">
        <v>7900</v>
      </c>
      <c r="C108" s="206" t="inlineStr">
        <is>
          <t>ריבית ועמלות בנק</t>
        </is>
      </c>
      <c r="D108" s="301" t="n">
        <v>2603.58</v>
      </c>
      <c r="E108" s="300" t="n"/>
      <c r="F108" s="289" t="n">
        <v>-7.83</v>
      </c>
      <c r="G108" s="284">
        <f>D108-E108+F108</f>
        <v/>
      </c>
      <c r="H108" s="284" t="n"/>
    </row>
    <row r="109">
      <c r="A109" s="285" t="n">
        <v>790</v>
      </c>
      <c r="B109" s="286" t="n">
        <v>7940</v>
      </c>
      <c r="C109" s="206" t="inlineStr">
        <is>
          <t>ריבית מוסדות</t>
        </is>
      </c>
      <c r="D109" s="324" t="n">
        <v>71</v>
      </c>
      <c r="E109" s="300" t="n"/>
      <c r="F109" s="289" t="n"/>
      <c r="G109" s="284">
        <f>D109-E109+F109</f>
        <v/>
      </c>
      <c r="H109" s="284" t="n"/>
    </row>
    <row r="110">
      <c r="A110" s="285" t="n">
        <v>790</v>
      </c>
      <c r="B110" s="286" t="n">
        <v>7999</v>
      </c>
      <c r="C110" s="206" t="inlineStr">
        <is>
          <t>ביטול ייתרות</t>
        </is>
      </c>
      <c r="D110" s="212" t="n">
        <v>5.36</v>
      </c>
      <c r="E110" s="300" t="n"/>
      <c r="F110" s="289" t="n"/>
      <c r="G110" s="284">
        <f>D110-E110+F110</f>
        <v/>
      </c>
      <c r="H110" s="284" t="n"/>
    </row>
    <row r="111">
      <c r="A111" s="330" t="n">
        <v>790</v>
      </c>
      <c r="B111" s="331" t="n">
        <v>7999</v>
      </c>
      <c r="C111" s="216" t="inlineStr">
        <is>
          <t>ביטול ייתרות</t>
        </is>
      </c>
      <c r="D111" s="345" t="n"/>
      <c r="E111" s="300" t="n"/>
      <c r="F111" s="289" t="n"/>
      <c r="G111" s="284">
        <f>D111-E111+F111</f>
        <v/>
      </c>
      <c r="H111" s="284" t="n"/>
    </row>
    <row r="112">
      <c r="A112" s="320" t="n"/>
      <c r="B112" s="321" t="n"/>
      <c r="C112" s="164" t="n"/>
      <c r="D112" s="327" t="n"/>
      <c r="E112" s="300" t="n"/>
      <c r="F112" s="289" t="n"/>
      <c r="G112" s="284">
        <f>D112-E112+F112</f>
        <v/>
      </c>
      <c r="H112" s="284">
        <f>SUM(G108:G111)</f>
        <v/>
      </c>
    </row>
    <row r="113">
      <c r="A113" s="320" t="n"/>
      <c r="B113" s="321" t="n"/>
      <c r="C113" s="164" t="n"/>
      <c r="D113" s="327" t="n"/>
      <c r="E113" s="165" t="n"/>
      <c r="F113" s="296" t="n"/>
      <c r="G113" s="284">
        <f>D113-E113+F113</f>
        <v/>
      </c>
      <c r="H113" s="283" t="n"/>
    </row>
    <row r="114">
      <c r="A114" s="328" t="n"/>
      <c r="B114" s="328" t="n"/>
      <c r="C114" s="329" t="n"/>
      <c r="D114" s="328">
        <f>SUM(D3:D112)</f>
        <v/>
      </c>
      <c r="E114" s="328">
        <f>SUM(E5:E112)</f>
        <v/>
      </c>
      <c r="F114" s="328">
        <f>SUM(F4:F113)</f>
        <v/>
      </c>
      <c r="G114" s="328">
        <f>SUM(G4:G113)</f>
        <v/>
      </c>
      <c r="H114" s="283" t="n"/>
    </row>
    <row r="115">
      <c r="A115" s="296" t="n"/>
      <c r="B115" s="296" t="n"/>
      <c r="C115" s="296" t="n"/>
      <c r="D115" s="296" t="n"/>
      <c r="E115" s="296" t="n"/>
      <c r="F115" s="296" t="n"/>
      <c r="G115" s="296" t="n"/>
    </row>
    <row r="116">
      <c r="A116" s="296" t="n"/>
      <c r="B116" s="296" t="n"/>
      <c r="C116" s="296" t="n"/>
      <c r="D116" s="296" t="n"/>
      <c r="E116" s="296" t="n"/>
      <c r="F116" s="296" t="n"/>
      <c r="G116" s="296"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A133" s="296" t="n"/>
      <c r="B133" s="296" t="n"/>
      <c r="C133" s="296" t="n"/>
      <c r="D133" s="296" t="n"/>
      <c r="E133" s="296" t="n"/>
      <c r="F133" s="296" t="n"/>
      <c r="G133" s="296" t="n"/>
    </row>
    <row r="134">
      <c r="A134" s="296" t="n"/>
      <c r="B134" s="296" t="n"/>
      <c r="C134" s="296" t="n"/>
      <c r="D134" s="296" t="n"/>
      <c r="E134" s="296" t="n"/>
      <c r="F134" s="296" t="n"/>
      <c r="G134" s="296" t="n"/>
    </row>
    <row r="135">
      <c r="G135" s="298" t="n"/>
    </row>
    <row r="136">
      <c r="G136" s="298"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row r="386">
      <c r="G386" s="298" t="n"/>
    </row>
    <row r="387">
      <c r="G387" s="29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rightToLeft="1" topLeftCell="A43" workbookViewId="0">
      <selection activeCell="B84" sqref="B84:E84"/>
    </sheetView>
  </sheetViews>
  <sheetFormatPr baseColWidth="10" defaultRowHeight="16"/>
  <cols>
    <col width="16.19921875" customWidth="1" style="282" min="1" max="1"/>
    <col width="9" customWidth="1" style="282" min="2" max="3"/>
    <col width="32" bestFit="1" customWidth="1" style="282" min="4" max="4"/>
    <col width="11.19921875" bestFit="1" customWidth="1" style="282" min="5" max="6"/>
    <col width="15.19921875" bestFit="1" customWidth="1" style="282" min="7" max="7"/>
    <col width="9" customWidth="1" style="282" min="8" max="256"/>
  </cols>
  <sheetData>
    <row r="1">
      <c r="A1" s="185" t="inlineStr">
        <is>
          <t>מירון ראובן 2021 ע.מ. 513831529</t>
        </is>
      </c>
      <c r="B1" s="230" t="n"/>
      <c r="C1" s="230" t="n"/>
      <c r="D1" s="230" t="n"/>
      <c r="E1" s="230" t="n"/>
      <c r="F1" s="230" t="n"/>
      <c r="G1" s="230" t="n"/>
    </row>
    <row r="2" ht="20" customHeight="1" s="282">
      <c r="A2" s="187" t="inlineStr">
        <is>
          <t>מאזן בוחן</t>
        </is>
      </c>
      <c r="B2" s="230" t="n"/>
      <c r="C2" s="230" t="n"/>
      <c r="D2" s="230" t="n"/>
      <c r="E2" s="230" t="n"/>
      <c r="F2" s="230" t="n"/>
      <c r="G2" s="186" t="inlineStr">
        <is>
          <t>18/08/2022 09:20:45</t>
        </is>
      </c>
    </row>
    <row r="3">
      <c r="A3" s="189" t="inlineStr">
        <is>
          <t>ת.אסמכתא בין 31/12/21-01/01/80 ת.ערך בין 31/12/29-01/01/80 ת.נוסף 3 בין 31/12/29-01/01/80</t>
        </is>
      </c>
      <c r="B3" s="230" t="n"/>
      <c r="C3" s="230" t="n"/>
      <c r="D3" s="230" t="n"/>
      <c r="E3" s="230" t="n"/>
      <c r="F3" s="230" t="n"/>
      <c r="G3" s="230" t="n"/>
    </row>
    <row r="4">
      <c r="A4" s="230" t="n"/>
      <c r="B4" s="190" t="inlineStr">
        <is>
          <t>מיון</t>
        </is>
      </c>
      <c r="C4" s="190" t="inlineStr">
        <is>
          <t>חשבון</t>
        </is>
      </c>
      <c r="D4" s="190" t="inlineStr">
        <is>
          <t>שם חשבון</t>
        </is>
      </c>
      <c r="E4" s="190" t="inlineStr">
        <is>
          <t>חובה</t>
        </is>
      </c>
      <c r="F4" s="190" t="inlineStr">
        <is>
          <t>זכות</t>
        </is>
      </c>
      <c r="G4" s="190" t="inlineStr">
        <is>
          <t>הפרש</t>
        </is>
      </c>
    </row>
    <row r="5">
      <c r="A5" s="191" t="inlineStr">
        <is>
          <t>אשראי לז"ק</t>
        </is>
      </c>
      <c r="B5" s="230" t="n"/>
      <c r="C5" s="230" t="n"/>
      <c r="D5" s="230" t="n"/>
      <c r="E5" s="230" t="n"/>
      <c r="F5" s="230" t="n"/>
      <c r="G5" s="230" t="n"/>
    </row>
    <row r="6">
      <c r="A6" s="230" t="n"/>
      <c r="B6" s="330" t="n">
        <v>110</v>
      </c>
      <c r="C6" s="331" t="n">
        <v>1030</v>
      </c>
      <c r="D6" s="216" t="inlineStr">
        <is>
          <t>פקדון</t>
        </is>
      </c>
      <c r="E6" s="332" t="n">
        <v>41311.7</v>
      </c>
      <c r="F6" s="230" t="n"/>
      <c r="G6" s="230" t="n"/>
    </row>
    <row r="7">
      <c r="A7" s="230" t="n"/>
      <c r="B7" s="330" t="n">
        <v>110</v>
      </c>
      <c r="C7" s="331" t="n">
        <v>1100</v>
      </c>
      <c r="D7" s="216" t="inlineStr">
        <is>
          <t>בנק הפועלים בע"מ</t>
        </is>
      </c>
      <c r="E7" s="333" t="n">
        <v>756098.83</v>
      </c>
      <c r="F7" s="230" t="n"/>
      <c r="G7" s="230" t="n"/>
    </row>
    <row r="8">
      <c r="A8" s="229" t="inlineStr">
        <is>
          <t>סה"כ לקבוצה:</t>
        </is>
      </c>
      <c r="B8" s="341" t="n">
        <v>110</v>
      </c>
      <c r="C8" s="230" t="n"/>
      <c r="D8" s="230" t="n"/>
      <c r="E8" s="347" t="n">
        <v>797410.53</v>
      </c>
      <c r="F8" s="201" t="n">
        <v>0</v>
      </c>
      <c r="G8" s="349" t="n">
        <v>-797410.53</v>
      </c>
    </row>
    <row r="9">
      <c r="A9" s="191" t="inlineStr">
        <is>
          <t>לקוחות</t>
        </is>
      </c>
      <c r="B9" s="230" t="n"/>
      <c r="C9" s="230" t="n"/>
      <c r="D9" s="230" t="n"/>
      <c r="E9" s="230" t="n"/>
      <c r="F9" s="230" t="n"/>
      <c r="G9" s="230" t="n"/>
    </row>
    <row r="10">
      <c r="A10" s="230" t="n"/>
      <c r="B10" s="330" t="n">
        <v>200</v>
      </c>
      <c r="C10" s="331" t="n">
        <v>2030</v>
      </c>
      <c r="D10" s="216" t="inlineStr">
        <is>
          <t>בית מלון ניר עציון</t>
        </is>
      </c>
      <c r="E10" s="332" t="n">
        <v>41769</v>
      </c>
      <c r="F10" s="230" t="n"/>
      <c r="G10" s="230" t="n"/>
    </row>
    <row r="11">
      <c r="A11" s="230" t="n"/>
      <c r="B11" s="330" t="n">
        <v>200</v>
      </c>
      <c r="C11" s="331" t="n">
        <v>2040</v>
      </c>
      <c r="D11" s="216" t="inlineStr">
        <is>
          <t>חברת החשמל לישראל בע"מ</t>
        </is>
      </c>
      <c r="E11" s="332" t="n">
        <v>34046</v>
      </c>
      <c r="F11" s="230" t="n"/>
      <c r="G11" s="230" t="n"/>
    </row>
    <row r="12">
      <c r="A12" s="230" t="n"/>
      <c r="B12" s="330" t="n">
        <v>200</v>
      </c>
      <c r="C12" s="331" t="n">
        <v>2059</v>
      </c>
      <c r="D12" s="216" t="inlineStr">
        <is>
          <t>ביטון ליאור</t>
        </is>
      </c>
      <c r="E12" s="332" t="n">
        <v>50000</v>
      </c>
      <c r="F12" s="230" t="n"/>
      <c r="G12" s="230" t="n"/>
    </row>
    <row r="13">
      <c r="A13" s="229" t="inlineStr">
        <is>
          <t>סה"כ לקבוצה:</t>
        </is>
      </c>
      <c r="B13" s="341" t="n">
        <v>200</v>
      </c>
      <c r="C13" s="230" t="n"/>
      <c r="D13" s="230" t="n"/>
      <c r="E13" s="347" t="n">
        <v>125815</v>
      </c>
      <c r="F13" s="201" t="n">
        <v>0</v>
      </c>
      <c r="G13" s="349" t="n">
        <v>-125815</v>
      </c>
    </row>
    <row r="14">
      <c r="A14" s="191" t="inlineStr">
        <is>
          <t>פקיד שומה</t>
        </is>
      </c>
      <c r="B14" s="230" t="n"/>
      <c r="C14" s="230" t="n"/>
      <c r="D14" s="230" t="n"/>
      <c r="E14" s="230" t="n"/>
      <c r="F14" s="230" t="n"/>
      <c r="G14" s="230" t="n"/>
    </row>
    <row r="15">
      <c r="A15" s="230" t="n"/>
      <c r="B15" s="330" t="n">
        <v>270</v>
      </c>
      <c r="C15" s="331" t="n">
        <v>2700</v>
      </c>
      <c r="D15" s="216" t="inlineStr">
        <is>
          <t>נכוי במקור - לקוחות</t>
        </is>
      </c>
      <c r="E15" s="332" t="n">
        <v>30134.75</v>
      </c>
      <c r="F15" s="219" t="n"/>
      <c r="G15" s="230" t="n"/>
    </row>
    <row r="16">
      <c r="A16" s="230" t="n"/>
      <c r="B16" s="330" t="n">
        <v>270</v>
      </c>
      <c r="C16" s="331" t="n">
        <v>2744</v>
      </c>
      <c r="D16" s="216" t="inlineStr">
        <is>
          <t>מס הכנסה שנים קודמות</t>
        </is>
      </c>
      <c r="E16" s="219" t="n"/>
      <c r="F16" s="334" t="n">
        <v>4768.57</v>
      </c>
      <c r="G16" s="230" t="n"/>
    </row>
    <row r="17">
      <c r="A17" s="230" t="n"/>
      <c r="B17" s="330" t="n">
        <v>270</v>
      </c>
      <c r="C17" s="331" t="n">
        <v>2745</v>
      </c>
      <c r="D17" s="216" t="inlineStr">
        <is>
          <t>מס הכנסה מקדמות</t>
        </is>
      </c>
      <c r="E17" s="332" t="n">
        <v>58417</v>
      </c>
      <c r="F17" s="219" t="n"/>
      <c r="G17" s="230" t="n"/>
    </row>
    <row r="18">
      <c r="A18" s="229" t="inlineStr">
        <is>
          <t>סה"כ לקבוצה:</t>
        </is>
      </c>
      <c r="B18" s="341" t="n">
        <v>270</v>
      </c>
      <c r="C18" s="230" t="n"/>
      <c r="D18" s="230" t="n"/>
      <c r="E18" s="348" t="n">
        <v>88551.75</v>
      </c>
      <c r="F18" s="343" t="n">
        <v>4768.57</v>
      </c>
      <c r="G18" s="350" t="n">
        <v>-83783.17999999999</v>
      </c>
    </row>
    <row r="19">
      <c r="A19" s="230" t="n"/>
      <c r="B19" s="330" t="n">
        <v>280</v>
      </c>
      <c r="C19" s="331" t="n">
        <v>2800</v>
      </c>
      <c r="D19" s="216" t="inlineStr">
        <is>
          <t>רכוש קבוע</t>
        </is>
      </c>
      <c r="E19" s="333" t="n">
        <v>139904.61</v>
      </c>
      <c r="F19" s="219" t="n"/>
      <c r="G19" s="230" t="n"/>
    </row>
    <row r="20">
      <c r="A20" s="230" t="n"/>
      <c r="B20" s="330" t="n">
        <v>280</v>
      </c>
      <c r="C20" s="331" t="n">
        <v>2850</v>
      </c>
      <c r="D20" s="216" t="inlineStr">
        <is>
          <t>פחת נצבר</t>
        </is>
      </c>
      <c r="E20" s="219" t="n"/>
      <c r="F20" s="332" t="n">
        <v>98290</v>
      </c>
      <c r="G20" s="230" t="n"/>
    </row>
    <row r="21">
      <c r="A21" s="229" t="inlineStr">
        <is>
          <t>סה"כ לקבוצה:</t>
        </is>
      </c>
      <c r="B21" s="341" t="n">
        <v>280</v>
      </c>
      <c r="C21" s="230" t="n"/>
      <c r="D21" s="230" t="n"/>
      <c r="E21" s="347" t="n">
        <v>139904.61</v>
      </c>
      <c r="F21" s="348" t="n">
        <v>98290</v>
      </c>
      <c r="G21" s="350" t="n">
        <v>-41614.61</v>
      </c>
    </row>
    <row r="22">
      <c r="A22" s="229" t="inlineStr">
        <is>
          <t>סה"כ לקבוצה:</t>
        </is>
      </c>
      <c r="B22" s="229" t="inlineStr">
        <is>
          <t>2**</t>
        </is>
      </c>
      <c r="C22" s="230" t="n"/>
      <c r="D22" s="230" t="n"/>
      <c r="E22" s="347" t="n">
        <v>354271.36</v>
      </c>
      <c r="F22" s="347" t="n">
        <v>103058.57</v>
      </c>
      <c r="G22" s="349" t="n">
        <v>-251212.79</v>
      </c>
    </row>
    <row r="23">
      <c r="A23" s="191" t="inlineStr">
        <is>
          <t>ספקים</t>
        </is>
      </c>
      <c r="B23" s="230" t="n"/>
      <c r="C23" s="230" t="n"/>
      <c r="D23" s="230" t="n"/>
      <c r="E23" s="230" t="n"/>
      <c r="F23" s="230" t="n"/>
      <c r="G23" s="230" t="n"/>
    </row>
    <row r="24">
      <c r="A24" s="230" t="n"/>
      <c r="B24" s="330" t="n">
        <v>300</v>
      </c>
      <c r="C24" s="331" t="n">
        <v>3004</v>
      </c>
      <c r="D24" s="216" t="inlineStr">
        <is>
          <t>גבס השרון בע"מ</t>
        </is>
      </c>
      <c r="E24" s="219" t="n"/>
      <c r="F24" s="334" t="n">
        <v>1148</v>
      </c>
      <c r="G24" s="230" t="n"/>
    </row>
    <row r="25">
      <c r="A25" s="230" t="n"/>
      <c r="B25" s="330" t="n">
        <v>300</v>
      </c>
      <c r="C25" s="331" t="n">
        <v>3049</v>
      </c>
      <c r="D25" s="216" t="inlineStr">
        <is>
          <t>דקוליין ציפויים דקורטיביים בע"מ</t>
        </is>
      </c>
      <c r="E25" s="219" t="n"/>
      <c r="F25" s="332" t="n">
        <v>13369</v>
      </c>
      <c r="G25" s="230" t="n"/>
    </row>
    <row r="26">
      <c r="A26" s="230" t="n"/>
      <c r="B26" s="330" t="n">
        <v>300</v>
      </c>
      <c r="C26" s="331" t="n">
        <v>3080</v>
      </c>
      <c r="D26" s="216" t="inlineStr">
        <is>
          <t>סופרדיל לבנין ולבית</t>
        </is>
      </c>
      <c r="E26" s="219" t="n"/>
      <c r="F26" s="332" t="n">
        <v>31492.1</v>
      </c>
      <c r="G26" s="230" t="n"/>
    </row>
    <row r="27">
      <c r="A27" s="230" t="n"/>
      <c r="B27" s="330" t="n">
        <v>300</v>
      </c>
      <c r="C27" s="331" t="n">
        <v>3241</v>
      </c>
      <c r="D27" s="216" t="inlineStr">
        <is>
          <t>אורלי - משאבי אנרגיה בע"מ</t>
        </is>
      </c>
      <c r="E27" s="219" t="n"/>
      <c r="F27" s="334" t="n">
        <v>1797</v>
      </c>
      <c r="G27" s="230" t="n"/>
    </row>
    <row r="28">
      <c r="A28" s="229" t="inlineStr">
        <is>
          <t>סה"כ לקבוצה:</t>
        </is>
      </c>
      <c r="B28" s="341" t="n">
        <v>300</v>
      </c>
      <c r="C28" s="230" t="n"/>
      <c r="D28" s="230" t="n"/>
      <c r="E28" s="201" t="n">
        <v>0</v>
      </c>
      <c r="F28" s="348" t="n">
        <v>47806.1</v>
      </c>
      <c r="G28" s="348" t="n">
        <v>47806.1</v>
      </c>
    </row>
    <row r="29">
      <c r="A29" s="230" t="n"/>
      <c r="B29" s="330" t="n">
        <v>351</v>
      </c>
      <c r="C29" s="331" t="n">
        <v>3640</v>
      </c>
      <c r="D29" s="216" t="inlineStr">
        <is>
          <t>הפניקס קרן פנסיה</t>
        </is>
      </c>
      <c r="E29" s="219" t="n"/>
      <c r="F29" s="332" t="n">
        <v>13159</v>
      </c>
      <c r="G29" s="230" t="n"/>
    </row>
    <row r="30">
      <c r="A30" s="191" t="inlineStr">
        <is>
          <t>חוז</t>
        </is>
      </c>
      <c r="B30" s="230" t="n"/>
      <c r="C30" s="230" t="n"/>
      <c r="D30" s="230" t="n"/>
      <c r="E30" s="230" t="n"/>
      <c r="F30" s="230" t="n"/>
      <c r="G30" s="230" t="n"/>
    </row>
    <row r="31">
      <c r="A31" s="230" t="n"/>
      <c r="B31" s="330" t="n">
        <v>360</v>
      </c>
      <c r="C31" s="331" t="n">
        <v>3600</v>
      </c>
      <c r="D31" s="216" t="inlineStr">
        <is>
          <t>מס הכנסה ניכויים</t>
        </is>
      </c>
      <c r="E31" s="219" t="n"/>
      <c r="F31" s="334" t="n">
        <v>4637</v>
      </c>
      <c r="G31" s="230" t="n"/>
    </row>
    <row r="32">
      <c r="A32" s="230" t="n"/>
      <c r="B32" s="330" t="n">
        <v>360</v>
      </c>
      <c r="C32" s="331" t="n">
        <v>3610</v>
      </c>
      <c r="D32" s="216" t="inlineStr">
        <is>
          <t>ביטוח לאומי ניכויים</t>
        </is>
      </c>
      <c r="E32" s="219" t="n"/>
      <c r="F32" s="334" t="n">
        <v>4198</v>
      </c>
      <c r="G32" s="230" t="n"/>
    </row>
    <row r="33">
      <c r="A33" s="229" t="inlineStr">
        <is>
          <t>סה"כ לקבוצה:</t>
        </is>
      </c>
      <c r="B33" s="341" t="n">
        <v>360</v>
      </c>
      <c r="C33" s="230" t="n"/>
      <c r="D33" s="230" t="n"/>
      <c r="E33" s="201" t="n">
        <v>0</v>
      </c>
      <c r="F33" s="343" t="n">
        <v>8835</v>
      </c>
      <c r="G33" s="343" t="n">
        <v>8835</v>
      </c>
    </row>
    <row r="34">
      <c r="A34" s="191" t="inlineStr">
        <is>
          <t>עובדים</t>
        </is>
      </c>
      <c r="B34" s="230" t="n"/>
      <c r="C34" s="230" t="n"/>
      <c r="D34" s="230" t="n"/>
      <c r="E34" s="230" t="n"/>
      <c r="F34" s="230" t="n"/>
      <c r="G34" s="230" t="n"/>
    </row>
    <row r="35">
      <c r="A35" s="230" t="n"/>
      <c r="B35" s="330" t="n">
        <v>370</v>
      </c>
      <c r="C35" s="331" t="n">
        <v>3702</v>
      </c>
      <c r="D35" s="216" t="inlineStr">
        <is>
          <t>ראובן גבי</t>
        </is>
      </c>
      <c r="E35" s="219" t="n"/>
      <c r="F35" s="334" t="n">
        <v>6800</v>
      </c>
      <c r="G35" s="230" t="n"/>
    </row>
    <row r="36">
      <c r="A36" s="230" t="n"/>
      <c r="B36" s="330" t="n">
        <v>370</v>
      </c>
      <c r="C36" s="331" t="n">
        <v>3705</v>
      </c>
      <c r="D36" s="216" t="inlineStr">
        <is>
          <t>אבולפיה שמואל</t>
        </is>
      </c>
      <c r="E36" s="219" t="n"/>
      <c r="F36" s="332" t="n">
        <v>49075</v>
      </c>
      <c r="G36" s="230" t="n"/>
    </row>
    <row r="37">
      <c r="A37" s="230" t="n"/>
      <c r="B37" s="330" t="n">
        <v>370</v>
      </c>
      <c r="C37" s="331" t="n">
        <v>3707</v>
      </c>
      <c r="D37" s="216" t="inlineStr">
        <is>
          <t>ראובן לוסי</t>
        </is>
      </c>
      <c r="E37" s="219" t="n"/>
      <c r="F37" s="335" t="n">
        <v>600</v>
      </c>
      <c r="G37" s="230" t="n"/>
    </row>
    <row r="38">
      <c r="A38" s="230" t="n"/>
      <c r="B38" s="330" t="n">
        <v>370</v>
      </c>
      <c r="C38" s="331" t="n">
        <v>3717</v>
      </c>
      <c r="D38" s="216" t="inlineStr">
        <is>
          <t>מוריוסף אשר</t>
        </is>
      </c>
      <c r="E38" s="219" t="n"/>
      <c r="F38" s="332" t="n">
        <v>11100</v>
      </c>
      <c r="G38" s="230" t="n"/>
    </row>
    <row r="39">
      <c r="A39" s="230" t="n"/>
      <c r="B39" s="330" t="n">
        <v>370</v>
      </c>
      <c r="C39" s="331" t="n">
        <v>3731</v>
      </c>
      <c r="D39" s="216" t="inlineStr">
        <is>
          <t>ראובן רחמים</t>
        </is>
      </c>
      <c r="E39" s="219" t="n"/>
      <c r="F39" s="335" t="n">
        <v>969</v>
      </c>
      <c r="G39" s="230" t="n"/>
    </row>
    <row r="40">
      <c r="A40" s="230" t="n"/>
      <c r="B40" s="330" t="n">
        <v>370</v>
      </c>
      <c r="C40" s="331" t="n">
        <v>3734</v>
      </c>
      <c r="D40" s="216" t="inlineStr">
        <is>
          <t>אגבייב רומן</t>
        </is>
      </c>
      <c r="E40" s="219" t="n"/>
      <c r="F40" s="334" t="n">
        <v>7200</v>
      </c>
      <c r="G40" s="230" t="n"/>
    </row>
    <row r="41">
      <c r="A41" s="230" t="n"/>
      <c r="B41" s="330" t="n">
        <v>370</v>
      </c>
      <c r="C41" s="331" t="n">
        <v>3735</v>
      </c>
      <c r="D41" s="216" t="inlineStr">
        <is>
          <t>ליפקר דגן</t>
        </is>
      </c>
      <c r="E41" s="219" t="n"/>
      <c r="F41" s="334" t="n">
        <v>6500</v>
      </c>
      <c r="G41" s="230" t="n"/>
    </row>
    <row r="42">
      <c r="A42" s="229" t="inlineStr">
        <is>
          <t>סה"כ לקבוצה:</t>
        </is>
      </c>
      <c r="B42" s="341" t="n">
        <v>370</v>
      </c>
      <c r="C42" s="230" t="n"/>
      <c r="D42" s="230" t="n"/>
      <c r="E42" s="201" t="n">
        <v>0</v>
      </c>
      <c r="F42" s="348" t="n">
        <v>82244</v>
      </c>
      <c r="G42" s="348" t="n">
        <v>82244</v>
      </c>
    </row>
    <row r="43">
      <c r="A43" s="229" t="inlineStr">
        <is>
          <t>סה"כ לקבוצה:</t>
        </is>
      </c>
      <c r="B43" s="229" t="inlineStr">
        <is>
          <t>3**</t>
        </is>
      </c>
      <c r="C43" s="230" t="n"/>
      <c r="D43" s="230" t="n"/>
      <c r="E43" s="201" t="n">
        <v>0</v>
      </c>
      <c r="F43" s="347" t="n">
        <v>152044.1</v>
      </c>
      <c r="G43" s="347" t="n">
        <v>152044.1</v>
      </c>
    </row>
    <row r="44">
      <c r="A44" s="230" t="n"/>
      <c r="B44" s="341" t="n">
        <v>400</v>
      </c>
      <c r="C44" s="342" t="n">
        <v>4000</v>
      </c>
      <c r="D44" s="229" t="inlineStr">
        <is>
          <t>הון מניות</t>
        </is>
      </c>
      <c r="E44" s="230" t="n"/>
      <c r="F44" s="351" t="n">
        <v>100</v>
      </c>
      <c r="G44" s="230" t="n"/>
    </row>
    <row r="45">
      <c r="A45" s="230" t="n"/>
      <c r="B45" s="330" t="n">
        <v>450</v>
      </c>
      <c r="C45" s="331" t="n">
        <v>4500</v>
      </c>
      <c r="D45" s="216" t="inlineStr">
        <is>
          <t>חשבון רווח/הפסד</t>
        </is>
      </c>
      <c r="E45" s="219" t="n"/>
      <c r="F45" s="344" t="n">
        <v>1255060.09</v>
      </c>
      <c r="G45" s="230" t="n"/>
    </row>
    <row r="46">
      <c r="A46" s="229" t="inlineStr">
        <is>
          <t>סה"כ לקבוצה:</t>
        </is>
      </c>
      <c r="B46" s="229" t="inlineStr">
        <is>
          <t>4**</t>
        </is>
      </c>
      <c r="C46" s="230" t="n"/>
      <c r="D46" s="230" t="n"/>
      <c r="E46" s="201" t="n">
        <v>0</v>
      </c>
      <c r="F46" s="353" t="n">
        <v>1255160.09</v>
      </c>
      <c r="G46" s="353" t="n">
        <v>1255160.09</v>
      </c>
    </row>
    <row r="47">
      <c r="A47" s="191" t="inlineStr">
        <is>
          <t>אגף המכס והבלו</t>
        </is>
      </c>
      <c r="B47" s="230" t="n"/>
      <c r="C47" s="230" t="n"/>
      <c r="D47" s="230" t="n"/>
      <c r="E47" s="230" t="n"/>
      <c r="F47" s="230" t="n"/>
      <c r="G47" s="230" t="n"/>
    </row>
    <row r="48">
      <c r="A48" s="230" t="n"/>
      <c r="B48" s="330" t="n">
        <v>500</v>
      </c>
      <c r="C48" s="331" t="n">
        <v>5000</v>
      </c>
      <c r="D48" s="216" t="inlineStr">
        <is>
          <t>מעמ תשומות</t>
        </is>
      </c>
      <c r="E48" s="334" t="n">
        <v>4766.68</v>
      </c>
      <c r="F48" s="219" t="n"/>
      <c r="G48" s="230" t="n"/>
    </row>
    <row r="49">
      <c r="A49" s="230" t="n"/>
      <c r="B49" s="330" t="n">
        <v>500</v>
      </c>
      <c r="C49" s="331" t="n">
        <v>5040</v>
      </c>
      <c r="D49" s="216" t="inlineStr">
        <is>
          <t>חוז מעמ</t>
        </is>
      </c>
      <c r="E49" s="219" t="n"/>
      <c r="F49" s="332" t="n">
        <v>27185</v>
      </c>
      <c r="G49" s="230" t="n"/>
    </row>
    <row r="50">
      <c r="A50" s="229" t="inlineStr">
        <is>
          <t>סה"כ לקבוצה:</t>
        </is>
      </c>
      <c r="B50" s="341" t="n">
        <v>500</v>
      </c>
      <c r="C50" s="230" t="n"/>
      <c r="D50" s="230" t="n"/>
      <c r="E50" s="343" t="n">
        <v>4766.68</v>
      </c>
      <c r="F50" s="348" t="n">
        <v>27185</v>
      </c>
      <c r="G50" s="348" t="n">
        <v>22418.32</v>
      </c>
    </row>
    <row r="51">
      <c r="A51" s="191" t="inlineStr">
        <is>
          <t>בעלי מניות</t>
        </is>
      </c>
      <c r="B51" s="230" t="n"/>
      <c r="C51" s="230" t="n"/>
      <c r="D51" s="230" t="n"/>
      <c r="E51" s="230" t="n"/>
      <c r="F51" s="230" t="n"/>
      <c r="G51" s="230" t="n"/>
    </row>
    <row r="52">
      <c r="A52" s="230" t="n"/>
      <c r="B52" s="330" t="n">
        <v>510</v>
      </c>
      <c r="C52" s="331" t="n">
        <v>5100</v>
      </c>
      <c r="D52" s="216" t="inlineStr">
        <is>
          <t>ראובן מירון</t>
        </is>
      </c>
      <c r="E52" s="219" t="n"/>
      <c r="F52" s="334" t="n">
        <v>2139.44</v>
      </c>
      <c r="G52" s="230" t="n"/>
    </row>
    <row r="53">
      <c r="A53" s="230" t="n"/>
      <c r="B53" s="330" t="n">
        <v>510</v>
      </c>
      <c r="C53" s="331" t="n">
        <v>5102</v>
      </c>
      <c r="D53" s="216" t="inlineStr">
        <is>
          <t>ראובן רחמים חיים  - דיבידנד</t>
        </is>
      </c>
      <c r="E53" s="333" t="n">
        <v>571428</v>
      </c>
      <c r="F53" s="230" t="n"/>
      <c r="G53" s="230" t="n"/>
    </row>
    <row r="54">
      <c r="A54" s="229" t="inlineStr">
        <is>
          <t>סה"כ לקבוצה:</t>
        </is>
      </c>
      <c r="B54" s="341" t="n">
        <v>510</v>
      </c>
      <c r="C54" s="230" t="n"/>
      <c r="D54" s="230" t="n"/>
      <c r="E54" s="347" t="n">
        <v>571428</v>
      </c>
      <c r="F54" s="343" t="n">
        <v>2139.44</v>
      </c>
      <c r="G54" s="349" t="n">
        <v>-569288.5600000001</v>
      </c>
    </row>
    <row r="55">
      <c r="A55" s="229" t="inlineStr">
        <is>
          <t>סה"כ לקבוצה:</t>
        </is>
      </c>
      <c r="B55" s="229" t="inlineStr">
        <is>
          <t>5**</t>
        </is>
      </c>
      <c r="C55" s="230" t="n"/>
      <c r="D55" s="230" t="n"/>
      <c r="E55" s="347" t="n">
        <v>576194.6800000001</v>
      </c>
      <c r="F55" s="348" t="n">
        <v>29324.44</v>
      </c>
      <c r="G55" s="349" t="n">
        <v>-546870.24</v>
      </c>
    </row>
    <row r="56">
      <c r="A56" s="191" t="inlineStr">
        <is>
          <t>הכנסות</t>
        </is>
      </c>
      <c r="B56" s="230" t="n"/>
      <c r="C56" s="230" t="n"/>
      <c r="D56" s="230" t="n"/>
      <c r="E56" s="230" t="n"/>
      <c r="F56" s="230" t="n"/>
      <c r="G56" s="230" t="n"/>
    </row>
    <row r="57">
      <c r="A57" s="230" t="n"/>
      <c r="B57" s="330" t="n">
        <v>600</v>
      </c>
      <c r="C57" s="331" t="n">
        <v>6000</v>
      </c>
      <c r="D57" s="216" t="inlineStr">
        <is>
          <t>הכנסות</t>
        </is>
      </c>
      <c r="E57" s="219" t="n"/>
      <c r="F57" s="333" t="n">
        <v>962928.21</v>
      </c>
      <c r="G57" s="230" t="n"/>
    </row>
    <row r="58">
      <c r="A58" s="230" t="n"/>
      <c r="B58" s="330" t="n">
        <v>600</v>
      </c>
      <c r="C58" s="331" t="n">
        <v>6008</v>
      </c>
      <c r="D58" s="216" t="inlineStr">
        <is>
          <t>הכנסות מניקוי אוניות פחם - חברת החשמל</t>
        </is>
      </c>
      <c r="E58" s="219" t="n"/>
      <c r="F58" s="333" t="n">
        <v>400792.31</v>
      </c>
      <c r="G58" s="230" t="n"/>
    </row>
    <row r="59">
      <c r="A59" s="229" t="inlineStr">
        <is>
          <t>סה"כ לקבוצה:</t>
        </is>
      </c>
      <c r="B59" s="341" t="n">
        <v>600</v>
      </c>
      <c r="C59" s="230" t="n"/>
      <c r="D59" s="230" t="n"/>
      <c r="E59" s="201" t="n">
        <v>0</v>
      </c>
      <c r="F59" s="353" t="n">
        <v>1363720.52</v>
      </c>
      <c r="G59" s="353" t="n">
        <v>1363720.52</v>
      </c>
    </row>
    <row r="60">
      <c r="A60" s="191" t="inlineStr">
        <is>
          <t>קניות</t>
        </is>
      </c>
      <c r="B60" s="230" t="n"/>
      <c r="C60" s="230" t="n"/>
      <c r="D60" s="230" t="n"/>
      <c r="E60" s="230" t="n"/>
      <c r="F60" s="230" t="n"/>
      <c r="G60" s="230" t="n"/>
    </row>
    <row r="61">
      <c r="A61" s="230" t="n"/>
      <c r="B61" s="330" t="n">
        <v>650</v>
      </c>
      <c r="C61" s="331" t="n">
        <v>6400</v>
      </c>
      <c r="D61" s="216" t="inlineStr">
        <is>
          <t>מלאי פתיחה רווח והפסד</t>
        </is>
      </c>
      <c r="E61" s="332" t="n">
        <v>33344</v>
      </c>
      <c r="F61" s="230" t="n"/>
      <c r="G61" s="230" t="n"/>
    </row>
    <row r="62">
      <c r="A62" s="230" t="n"/>
      <c r="B62" s="330" t="n">
        <v>650</v>
      </c>
      <c r="C62" s="331" t="n">
        <v>6500</v>
      </c>
      <c r="D62" s="216" t="inlineStr">
        <is>
          <t>קניות</t>
        </is>
      </c>
      <c r="E62" s="333" t="n">
        <v>259639.76</v>
      </c>
      <c r="F62" s="230" t="n"/>
      <c r="G62" s="230" t="n"/>
    </row>
    <row r="63">
      <c r="A63" s="229" t="inlineStr">
        <is>
          <t>סה"כ לקבוצה:</t>
        </is>
      </c>
      <c r="B63" s="341" t="n">
        <v>650</v>
      </c>
      <c r="C63" s="230" t="n"/>
      <c r="D63" s="230" t="n"/>
      <c r="E63" s="347" t="n">
        <v>292983.76</v>
      </c>
      <c r="F63" s="201" t="n">
        <v>0</v>
      </c>
      <c r="G63" s="349" t="n">
        <v>-292983.76</v>
      </c>
    </row>
    <row r="64">
      <c r="A64" s="230" t="n"/>
      <c r="B64" s="330" t="n">
        <v>660</v>
      </c>
      <c r="C64" s="331" t="n">
        <v>6600</v>
      </c>
      <c r="D64" s="216" t="inlineStr">
        <is>
          <t>קבלני משנה</t>
        </is>
      </c>
      <c r="E64" s="333" t="n">
        <v>143680.35</v>
      </c>
      <c r="F64" s="230" t="n"/>
      <c r="G64" s="230" t="n"/>
    </row>
    <row r="65">
      <c r="A65" s="230" t="n"/>
      <c r="B65" s="330" t="n">
        <v>660</v>
      </c>
      <c r="C65" s="331" t="n">
        <v>6605</v>
      </c>
      <c r="D65" s="216" t="inlineStr">
        <is>
          <t>פינוי פסולת</t>
        </is>
      </c>
      <c r="E65" s="332" t="n">
        <v>17600</v>
      </c>
      <c r="F65" s="230" t="n"/>
      <c r="G65" s="230" t="n"/>
    </row>
    <row r="66">
      <c r="A66" s="229" t="inlineStr">
        <is>
          <t>סה"כ לקבוצה:</t>
        </is>
      </c>
      <c r="B66" s="341" t="n">
        <v>660</v>
      </c>
      <c r="C66" s="230" t="n"/>
      <c r="D66" s="230" t="n"/>
      <c r="E66" s="347" t="n">
        <v>161280.35</v>
      </c>
      <c r="F66" s="201" t="n">
        <v>0</v>
      </c>
      <c r="G66" s="349" t="n">
        <v>-161280.35</v>
      </c>
    </row>
    <row r="67">
      <c r="A67" s="229" t="inlineStr">
        <is>
          <t>סה"כ לקבוצה:</t>
        </is>
      </c>
      <c r="B67" s="229" t="inlineStr">
        <is>
          <t>6**</t>
        </is>
      </c>
      <c r="C67" s="230" t="n"/>
      <c r="D67" s="230" t="n"/>
      <c r="E67" s="347" t="n">
        <v>454264.11</v>
      </c>
      <c r="F67" s="353" t="n">
        <v>1363720.52</v>
      </c>
      <c r="G67" s="347" t="n">
        <v>909456.41</v>
      </c>
    </row>
    <row r="68">
      <c r="A68" s="191" t="inlineStr">
        <is>
          <t>שכר עבודה</t>
        </is>
      </c>
      <c r="B68" s="230" t="n"/>
      <c r="C68" s="230" t="n"/>
      <c r="D68" s="230" t="n"/>
      <c r="E68" s="230" t="n"/>
      <c r="F68" s="230" t="n"/>
      <c r="G68" s="230" t="n"/>
    </row>
    <row r="69">
      <c r="A69" s="230" t="n"/>
      <c r="B69" s="330" t="n">
        <v>700</v>
      </c>
      <c r="C69" s="331" t="n">
        <v>7000</v>
      </c>
      <c r="D69" s="216" t="inlineStr">
        <is>
          <t>שכר עבודה</t>
        </is>
      </c>
      <c r="E69" s="333" t="n">
        <v>547254</v>
      </c>
      <c r="F69" s="219" t="n"/>
      <c r="G69" s="230" t="n"/>
    </row>
    <row r="70">
      <c r="A70" s="230" t="n"/>
      <c r="B70" s="330" t="n">
        <v>700</v>
      </c>
      <c r="C70" s="331" t="n">
        <v>7001</v>
      </c>
      <c r="D70" s="216" t="inlineStr">
        <is>
          <t>סוציאליות</t>
        </is>
      </c>
      <c r="E70" s="332" t="n">
        <v>26677</v>
      </c>
      <c r="F70" s="219" t="n"/>
      <c r="G70" s="230" t="n"/>
    </row>
    <row r="71">
      <c r="A71" s="230" t="n"/>
      <c r="B71" s="330" t="n">
        <v>700</v>
      </c>
      <c r="C71" s="331" t="n">
        <v>7002</v>
      </c>
      <c r="D71" s="216" t="inlineStr">
        <is>
          <t>גמל מעביד</t>
        </is>
      </c>
      <c r="E71" s="332" t="n">
        <v>17029</v>
      </c>
      <c r="F71" s="219" t="n"/>
      <c r="G71" s="230" t="n"/>
    </row>
    <row r="72">
      <c r="A72" s="230" t="n"/>
      <c r="B72" s="330" t="n">
        <v>700</v>
      </c>
      <c r="C72" s="331" t="n">
        <v>7006</v>
      </c>
      <c r="D72" s="216" t="inlineStr">
        <is>
          <t>הוצ גמל פיצויים</t>
        </is>
      </c>
      <c r="E72" s="332" t="n">
        <v>20759</v>
      </c>
      <c r="F72" s="219" t="n"/>
      <c r="G72" s="230" t="n"/>
    </row>
    <row r="73">
      <c r="A73" s="230" t="n"/>
      <c r="B73" s="330" t="n">
        <v>700</v>
      </c>
      <c r="C73" s="331" t="n">
        <v>7010</v>
      </c>
      <c r="D73" s="216" t="inlineStr">
        <is>
          <t>הכנסות זקופות</t>
        </is>
      </c>
      <c r="E73" s="219" t="n"/>
      <c r="F73" s="334" t="n">
        <v>4319</v>
      </c>
      <c r="G73" s="230" t="n"/>
    </row>
    <row r="74">
      <c r="A74" s="230" t="n"/>
      <c r="B74" s="330" t="n">
        <v>700</v>
      </c>
      <c r="C74" s="331" t="n">
        <v>7020</v>
      </c>
      <c r="D74" s="216" t="inlineStr">
        <is>
          <t>הוצאות פיצויים (בתלוש)</t>
        </is>
      </c>
      <c r="E74" s="332" t="n">
        <v>43456</v>
      </c>
      <c r="F74" s="219" t="n"/>
      <c r="G74" s="230" t="n"/>
    </row>
    <row r="75">
      <c r="A75" s="229" t="inlineStr">
        <is>
          <t>סה"כ לקבוצה:</t>
        </is>
      </c>
      <c r="B75" s="341" t="n">
        <v>700</v>
      </c>
      <c r="C75" s="230" t="n"/>
      <c r="D75" s="230" t="n"/>
      <c r="E75" s="347" t="n">
        <v>655175</v>
      </c>
      <c r="F75" s="343" t="n">
        <v>4319</v>
      </c>
      <c r="G75" s="349" t="n">
        <v>-650856</v>
      </c>
    </row>
    <row r="76">
      <c r="A76" s="191" t="inlineStr">
        <is>
          <t>הוצאות הנהלה וכלליות</t>
        </is>
      </c>
      <c r="B76" s="230" t="n"/>
      <c r="C76" s="230" t="n"/>
      <c r="D76" s="230" t="n"/>
      <c r="E76" s="230" t="n"/>
      <c r="F76" s="230" t="n"/>
      <c r="G76" s="230" t="n"/>
    </row>
    <row r="77">
      <c r="A77" s="230" t="n"/>
      <c r="B77" s="330" t="n">
        <v>720</v>
      </c>
      <c r="C77" s="331" t="n">
        <v>7200</v>
      </c>
      <c r="D77" s="216" t="inlineStr">
        <is>
          <t>משרדיות</t>
        </is>
      </c>
      <c r="E77" s="334" t="n">
        <v>1037.12</v>
      </c>
      <c r="F77" s="230" t="n"/>
      <c r="G77" s="230" t="n"/>
    </row>
    <row r="78">
      <c r="A78" s="230" t="n"/>
      <c r="B78" s="330" t="n">
        <v>720</v>
      </c>
      <c r="C78" s="331" t="n">
        <v>7201</v>
      </c>
      <c r="D78" s="216" t="inlineStr">
        <is>
          <t>ביטוחים</t>
        </is>
      </c>
      <c r="E78" s="332" t="n">
        <v>31680</v>
      </c>
      <c r="F78" s="230" t="n"/>
      <c r="G78" s="230" t="n"/>
    </row>
    <row r="79">
      <c r="A79" s="230" t="n"/>
      <c r="B79" s="330" t="n">
        <v>720</v>
      </c>
      <c r="C79" s="331" t="n">
        <v>7204</v>
      </c>
      <c r="D79" s="216" t="inlineStr">
        <is>
          <t>אגרות</t>
        </is>
      </c>
      <c r="E79" s="334" t="n">
        <v>1133</v>
      </c>
      <c r="F79" s="230" t="n"/>
      <c r="G79" s="230" t="n"/>
    </row>
    <row r="80">
      <c r="A80" s="230" t="n"/>
      <c r="B80" s="330" t="n">
        <v>720</v>
      </c>
      <c r="C80" s="331" t="n">
        <v>7206</v>
      </c>
      <c r="D80" s="216" t="inlineStr">
        <is>
          <t>שכ"ט ומשפטיות</t>
        </is>
      </c>
      <c r="E80" s="334" t="n">
        <v>5128.21</v>
      </c>
      <c r="F80" s="230" t="n"/>
      <c r="G80" s="230" t="n"/>
    </row>
    <row r="81">
      <c r="A81" s="230" t="n"/>
      <c r="B81" s="330" t="n">
        <v>720</v>
      </c>
      <c r="C81" s="331" t="n">
        <v>7210</v>
      </c>
      <c r="D81" s="216" t="inlineStr">
        <is>
          <t>טלפון ותקשורת</t>
        </is>
      </c>
      <c r="E81" s="334" t="n">
        <v>2807.18</v>
      </c>
      <c r="F81" s="230" t="n"/>
      <c r="G81" s="230" t="n"/>
    </row>
    <row r="82">
      <c r="A82" s="230" t="n"/>
      <c r="B82" s="330" t="n">
        <v>720</v>
      </c>
      <c r="C82" s="331" t="n">
        <v>7250</v>
      </c>
      <c r="D82" s="216" t="inlineStr">
        <is>
          <t>הנהח וביקורת</t>
        </is>
      </c>
      <c r="E82" s="334" t="n">
        <v>1282.05</v>
      </c>
      <c r="F82" s="230" t="n"/>
      <c r="G82" s="230" t="n"/>
    </row>
    <row r="83">
      <c r="A83" s="229" t="inlineStr">
        <is>
          <t>סה"כ לקבוצה:</t>
        </is>
      </c>
      <c r="B83" s="341" t="n">
        <v>720</v>
      </c>
      <c r="C83" s="230" t="n"/>
      <c r="D83" s="230" t="n"/>
      <c r="E83" s="348" t="n">
        <v>43067.56</v>
      </c>
      <c r="F83" s="201" t="n">
        <v>0</v>
      </c>
      <c r="G83" s="350" t="n">
        <v>-43067.56</v>
      </c>
    </row>
    <row r="84">
      <c r="A84" s="230" t="n"/>
      <c r="B84" s="341" t="n">
        <v>730</v>
      </c>
      <c r="C84" s="342" t="n">
        <v>7301</v>
      </c>
      <c r="D84" s="229" t="inlineStr">
        <is>
          <t>כלי עבודה</t>
        </is>
      </c>
      <c r="E84" s="343" t="n">
        <v>1305.05</v>
      </c>
      <c r="F84" s="230" t="n"/>
      <c r="G84" s="230" t="n"/>
    </row>
    <row r="85">
      <c r="A85" s="191" t="inlineStr">
        <is>
          <t>אחזקת רכב</t>
        </is>
      </c>
      <c r="B85" s="230" t="n"/>
      <c r="C85" s="230" t="n"/>
      <c r="D85" s="230" t="n"/>
      <c r="E85" s="230" t="n"/>
      <c r="F85" s="230" t="n"/>
      <c r="G85" s="230" t="n"/>
    </row>
    <row r="86">
      <c r="A86" s="230" t="n"/>
      <c r="B86" s="330" t="n">
        <v>760</v>
      </c>
      <c r="C86" s="331" t="n">
        <v>7600</v>
      </c>
      <c r="D86" s="216" t="inlineStr">
        <is>
          <t>24-388-73  יונדאי דלק    (10.2016)</t>
        </is>
      </c>
      <c r="E86" s="332" t="n">
        <v>19231.77</v>
      </c>
      <c r="F86" s="230" t="n"/>
      <c r="G86" s="230" t="n"/>
    </row>
    <row r="87">
      <c r="A87" s="230" t="n"/>
      <c r="B87" s="330" t="n">
        <v>760</v>
      </c>
      <c r="C87" s="331" t="n">
        <v>7601</v>
      </c>
      <c r="D87" s="216" t="inlineStr">
        <is>
          <t>24-388-73  יונדאי הוצ שוטפות    (10.2016)</t>
        </is>
      </c>
      <c r="E87" s="334" t="n">
        <v>2484.59</v>
      </c>
      <c r="F87" s="230" t="n"/>
      <c r="G87" s="230" t="n"/>
    </row>
    <row r="88">
      <c r="A88" s="230" t="n"/>
      <c r="B88" s="330" t="n">
        <v>760</v>
      </c>
      <c r="C88" s="331" t="n">
        <v>7602</v>
      </c>
      <c r="D88" s="216" t="inlineStr">
        <is>
          <t>24-388-73  יונדאי ביטוחים    (10.2016)</t>
        </is>
      </c>
      <c r="E88" s="334" t="n">
        <v>4096</v>
      </c>
      <c r="F88" s="230" t="n"/>
      <c r="G88" s="230" t="n"/>
    </row>
    <row r="89">
      <c r="A89" s="229" t="inlineStr">
        <is>
          <t>סה"כ לקבוצה:</t>
        </is>
      </c>
      <c r="B89" s="341" t="n">
        <v>760</v>
      </c>
      <c r="C89" s="230" t="n"/>
      <c r="D89" s="230" t="n"/>
      <c r="E89" s="348" t="n">
        <v>25812.36</v>
      </c>
      <c r="F89" s="201" t="n">
        <v>0</v>
      </c>
      <c r="G89" s="350" t="n">
        <v>-25812.36</v>
      </c>
    </row>
    <row r="90">
      <c r="A90" s="191" t="inlineStr">
        <is>
          <t>מימון</t>
        </is>
      </c>
      <c r="B90" s="230" t="n"/>
      <c r="C90" s="230" t="n"/>
      <c r="D90" s="230" t="n"/>
      <c r="E90" s="230" t="n"/>
      <c r="F90" s="230" t="n"/>
      <c r="G90" s="230" t="n"/>
    </row>
    <row r="91">
      <c r="A91" s="230" t="n"/>
      <c r="B91" s="330" t="n">
        <v>790</v>
      </c>
      <c r="C91" s="331" t="n">
        <v>7900</v>
      </c>
      <c r="D91" s="216" t="inlineStr">
        <is>
          <t>ריבית ועמלות בנק</t>
        </is>
      </c>
      <c r="E91" s="334" t="n">
        <v>2230.06</v>
      </c>
      <c r="F91" s="219" t="n"/>
      <c r="G91" s="230" t="n"/>
    </row>
    <row r="92">
      <c r="A92" s="230" t="n"/>
      <c r="B92" s="330" t="n">
        <v>790</v>
      </c>
      <c r="C92" s="331" t="n">
        <v>7920</v>
      </c>
      <c r="D92" s="216" t="inlineStr">
        <is>
          <t>ריבית מס הכנסה</t>
        </is>
      </c>
      <c r="E92" s="219" t="n"/>
      <c r="F92" s="334" t="n">
        <v>2394</v>
      </c>
      <c r="G92" s="230" t="n"/>
    </row>
    <row r="93">
      <c r="A93" s="230" t="n"/>
      <c r="B93" s="330" t="n">
        <v>790</v>
      </c>
      <c r="C93" s="331" t="n">
        <v>7999</v>
      </c>
      <c r="D93" s="216" t="inlineStr">
        <is>
          <t>ביטול ייתרות</t>
        </is>
      </c>
      <c r="E93" s="335" t="n">
        <v>290.01</v>
      </c>
      <c r="F93" s="219" t="n"/>
      <c r="G93" s="230" t="n"/>
    </row>
    <row r="94">
      <c r="A94" s="229" t="inlineStr">
        <is>
          <t>סה"כ לקבוצה:</t>
        </is>
      </c>
      <c r="B94" s="341" t="n">
        <v>790</v>
      </c>
      <c r="C94" s="230" t="n"/>
      <c r="D94" s="230" t="n"/>
      <c r="E94" s="343" t="n">
        <v>2520.07</v>
      </c>
      <c r="F94" s="343" t="n">
        <v>2394</v>
      </c>
      <c r="G94" s="355" t="n">
        <v>-126.07</v>
      </c>
    </row>
    <row r="95">
      <c r="A95" s="229" t="inlineStr">
        <is>
          <t>סה"כ לקבוצה:</t>
        </is>
      </c>
      <c r="B95" s="229" t="inlineStr">
        <is>
          <t>7**</t>
        </is>
      </c>
      <c r="C95" s="230" t="n"/>
      <c r="D95" s="230" t="n"/>
      <c r="E95" s="347" t="n">
        <v>727880.04</v>
      </c>
      <c r="F95" s="343" t="n">
        <v>6713</v>
      </c>
      <c r="G95" s="349" t="n">
        <v>-721167.04</v>
      </c>
    </row>
    <row r="96">
      <c r="A96" s="229" t="inlineStr">
        <is>
          <t>סה"כ לקבוצה:</t>
        </is>
      </c>
      <c r="B96" s="229" t="inlineStr">
        <is>
          <t>***</t>
        </is>
      </c>
      <c r="C96" s="230" t="n"/>
      <c r="D96" s="230" t="n"/>
      <c r="E96" s="353" t="n">
        <v>2910020.72</v>
      </c>
      <c r="F96" s="353" t="n">
        <v>2910020.72</v>
      </c>
      <c r="G96" s="201" t="n">
        <v>0</v>
      </c>
    </row>
    <row r="97">
      <c r="A97" s="229" t="inlineStr">
        <is>
          <t>סה"כ לדו"ח:</t>
        </is>
      </c>
      <c r="B97" s="230" t="n"/>
      <c r="C97" s="230" t="n"/>
      <c r="D97" s="230" t="n"/>
      <c r="E97" s="353" t="n">
        <v>2910020.72</v>
      </c>
      <c r="F97" s="353" t="n">
        <v>2910020.72</v>
      </c>
      <c r="G97" s="201"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388"/>
  <sheetViews>
    <sheetView rightToLeft="1" workbookViewId="0">
      <selection activeCell="A1" sqref="A1:IV65536"/>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 xml:space="preserve">מירון יתרות </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330" t="n">
        <v>110</v>
      </c>
      <c r="B4" s="331" t="n">
        <v>1030</v>
      </c>
      <c r="C4" s="216" t="inlineStr">
        <is>
          <t>פקדון</t>
        </is>
      </c>
      <c r="D4" s="332" t="n">
        <v>41311.7</v>
      </c>
      <c r="E4" s="289" t="n"/>
      <c r="F4" s="284" t="n"/>
      <c r="G4" s="284">
        <f>D4-E4+F4</f>
        <v/>
      </c>
      <c r="H4" s="284" t="n"/>
    </row>
    <row r="5">
      <c r="A5" s="330" t="n">
        <v>110</v>
      </c>
      <c r="B5" s="331" t="n">
        <v>1100</v>
      </c>
      <c r="C5" s="216" t="inlineStr">
        <is>
          <t>בנק הפועלים בע"מ</t>
        </is>
      </c>
      <c r="D5" s="333" t="n">
        <v>756098.83</v>
      </c>
      <c r="E5" s="289" t="n"/>
      <c r="F5" s="289" t="n"/>
      <c r="G5" s="284">
        <f>D5-E5+F5</f>
        <v/>
      </c>
      <c r="H5" s="284" t="n"/>
    </row>
    <row r="6">
      <c r="A6" s="285" t="n">
        <v>100</v>
      </c>
      <c r="B6" s="286" t="n">
        <v>1005</v>
      </c>
      <c r="C6" s="206" t="inlineStr">
        <is>
          <t>קופת שקים</t>
        </is>
      </c>
      <c r="D6" s="287" t="n"/>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89" t="n"/>
      <c r="G8" s="284">
        <f>D8-E8+F8</f>
        <v/>
      </c>
      <c r="H8" s="284" t="n"/>
    </row>
    <row r="9">
      <c r="A9" s="285" t="n">
        <v>110</v>
      </c>
      <c r="B9" s="286" t="n">
        <v>1150</v>
      </c>
      <c r="C9" s="206" t="inlineStr">
        <is>
          <t>שקים לפרעון</t>
        </is>
      </c>
      <c r="D9" s="208" t="n"/>
      <c r="E9" s="297" t="n"/>
      <c r="F9" s="289" t="n"/>
      <c r="G9" s="284">
        <f>D9-E9+F9</f>
        <v/>
      </c>
      <c r="H9" s="284" t="n"/>
    </row>
    <row r="10">
      <c r="A10" s="285" t="n">
        <v>110</v>
      </c>
      <c r="B10" s="346" t="n">
        <v>633</v>
      </c>
      <c r="C10" s="206" t="inlineStr">
        <is>
          <t>633  ישראכרט  עסקי</t>
        </is>
      </c>
      <c r="D10" s="208" t="n"/>
      <c r="E10" s="299" t="n"/>
      <c r="F10" s="289" t="n"/>
      <c r="G10" s="284">
        <f>D10-E10+F10</f>
        <v/>
      </c>
      <c r="H10" s="284">
        <f>SUM(G9:G10)</f>
        <v/>
      </c>
      <c r="M10" s="298" t="n">
        <v>1838445</v>
      </c>
    </row>
    <row r="11">
      <c r="A11" s="294" t="n"/>
      <c r="B11" s="294" t="n"/>
      <c r="C11" s="140" t="inlineStr">
        <is>
          <t>לקוחות</t>
        </is>
      </c>
      <c r="D11" s="294" t="n"/>
      <c r="E11" s="160" t="n"/>
      <c r="F11" s="289" t="n"/>
      <c r="G11" s="284">
        <f>D11-E11+F11</f>
        <v/>
      </c>
      <c r="H11" s="284" t="n"/>
    </row>
    <row r="12">
      <c r="A12" s="330" t="n">
        <v>200</v>
      </c>
      <c r="B12" s="331" t="n">
        <v>2030</v>
      </c>
      <c r="C12" s="216" t="inlineStr">
        <is>
          <t>בית מלון ניר עציון</t>
        </is>
      </c>
      <c r="D12" s="332" t="n">
        <v>41769</v>
      </c>
      <c r="E12" s="300" t="n"/>
      <c r="F12" s="289" t="n"/>
      <c r="G12" s="284">
        <f>D12-E12+F12</f>
        <v/>
      </c>
      <c r="H12" s="284" t="n"/>
      <c r="M12" s="298" t="n">
        <v>6500</v>
      </c>
    </row>
    <row r="13">
      <c r="A13" s="330" t="n">
        <v>200</v>
      </c>
      <c r="B13" s="331" t="n">
        <v>2040</v>
      </c>
      <c r="C13" s="216" t="inlineStr">
        <is>
          <t>חברת החשמל לישראל בע"מ</t>
        </is>
      </c>
      <c r="D13" s="332" t="n">
        <v>34046</v>
      </c>
      <c r="E13" s="300" t="n"/>
      <c r="F13" s="289" t="n"/>
      <c r="G13" s="284">
        <f>D13-E13+F13</f>
        <v/>
      </c>
      <c r="H13" s="284" t="n"/>
    </row>
    <row r="14">
      <c r="A14" s="330" t="n">
        <v>200</v>
      </c>
      <c r="B14" s="331" t="n">
        <v>2059</v>
      </c>
      <c r="C14" s="216" t="inlineStr">
        <is>
          <t>ביטון ליאור</t>
        </is>
      </c>
      <c r="D14" s="332" t="n">
        <v>50000</v>
      </c>
      <c r="E14" s="300" t="n"/>
      <c r="F14" s="289" t="n"/>
      <c r="G14" s="284">
        <f>D14-E14+F14</f>
        <v/>
      </c>
      <c r="H14" s="284" t="n"/>
    </row>
    <row r="15">
      <c r="A15" s="300" t="n"/>
      <c r="B15" s="300" t="n"/>
      <c r="C15" s="302" t="n"/>
      <c r="D15" s="170" t="n"/>
      <c r="E15" s="300" t="n"/>
      <c r="F15" s="289" t="n"/>
      <c r="G15" s="284">
        <f>D15-E15+F15</f>
        <v/>
      </c>
      <c r="H15" s="284">
        <f>SUM(G12:G15)</f>
        <v/>
      </c>
      <c r="M15" s="298">
        <f>SUM(M10:M14)</f>
        <v/>
      </c>
    </row>
    <row r="16">
      <c r="A16" s="294" t="n"/>
      <c r="B16" s="294" t="n"/>
      <c r="C16" s="140" t="inlineStr">
        <is>
          <t>פקיד שומה</t>
        </is>
      </c>
      <c r="D16" s="294" t="n"/>
      <c r="E16" s="294" t="n"/>
      <c r="F16" s="289" t="n"/>
      <c r="G16" s="284">
        <f>D16-E16+F16</f>
        <v/>
      </c>
      <c r="H16" s="284" t="n"/>
    </row>
    <row r="17">
      <c r="A17" s="330" t="n">
        <v>270</v>
      </c>
      <c r="B17" s="331" t="n">
        <v>2700</v>
      </c>
      <c r="C17" s="216" t="inlineStr">
        <is>
          <t>נכוי במקור - לקוחות</t>
        </is>
      </c>
      <c r="D17" s="332" t="n">
        <v>30134.75</v>
      </c>
      <c r="E17" s="219" t="n"/>
      <c r="F17" s="289" t="n"/>
      <c r="G17" s="284">
        <f>D17-E17+F17</f>
        <v/>
      </c>
      <c r="H17" s="284" t="n"/>
    </row>
    <row r="18">
      <c r="A18" s="330" t="n">
        <v>270</v>
      </c>
      <c r="B18" s="331" t="n">
        <v>2744</v>
      </c>
      <c r="C18" s="216" t="inlineStr">
        <is>
          <t>מס הכנסה שנים קודמות</t>
        </is>
      </c>
      <c r="D18" s="219" t="n"/>
      <c r="E18" s="334" t="n">
        <v>4768.57</v>
      </c>
      <c r="F18" s="289" t="n">
        <v>6467</v>
      </c>
      <c r="G18" s="284">
        <f>D18-E18+F18</f>
        <v/>
      </c>
      <c r="H18" s="284" t="n"/>
    </row>
    <row r="19">
      <c r="A19" s="330" t="n">
        <v>270</v>
      </c>
      <c r="B19" s="331" t="n">
        <v>2745</v>
      </c>
      <c r="C19" s="216" t="inlineStr">
        <is>
          <t>מס הכנסה מקדמות</t>
        </is>
      </c>
      <c r="D19" s="332" t="n">
        <v>58417</v>
      </c>
      <c r="E19" s="219" t="n"/>
      <c r="F19" s="289">
        <f>-6467</f>
        <v/>
      </c>
      <c r="G19" s="284">
        <f>D19-E19+F19</f>
        <v/>
      </c>
      <c r="H19" s="284" t="n"/>
      <c r="I19" s="298" t="n">
        <v>52821</v>
      </c>
      <c r="J19" s="298" t="inlineStr">
        <is>
          <t>כולל דצמבר</t>
        </is>
      </c>
    </row>
    <row r="20" ht="17" customHeight="1" s="282" thickBot="1">
      <c r="A20" s="300" t="n"/>
      <c r="B20" s="300" t="n"/>
      <c r="C20" s="302" t="n"/>
      <c r="D20" s="300" t="n"/>
      <c r="E20" s="170" t="n"/>
      <c r="F20" s="289" t="n"/>
      <c r="G20" s="284">
        <f>D20-E20+F20</f>
        <v/>
      </c>
      <c r="H20" s="284">
        <f>SUM(G17:G20)</f>
        <v/>
      </c>
    </row>
    <row r="21">
      <c r="A21" s="294" t="n"/>
      <c r="B21" s="294" t="n"/>
      <c r="C21" s="140" t="inlineStr">
        <is>
          <t>רכוש קבוע</t>
        </is>
      </c>
      <c r="D21" s="294" t="n"/>
      <c r="E21" s="160" t="n"/>
      <c r="F21" s="289" t="n"/>
      <c r="G21" s="284">
        <f>D21-E21+F21</f>
        <v/>
      </c>
      <c r="H21" s="284" t="n"/>
      <c r="M21" s="303" t="inlineStr">
        <is>
          <t>מלאי</t>
        </is>
      </c>
    </row>
    <row r="22">
      <c r="A22" s="290" t="n"/>
      <c r="B22" s="291" t="n"/>
      <c r="C22" s="292" t="n"/>
      <c r="D22" s="293" t="n"/>
      <c r="E22" s="304" t="n"/>
      <c r="F22" s="289" t="n"/>
      <c r="G22" s="284">
        <f>D22-E22+F22</f>
        <v/>
      </c>
      <c r="H22" s="284" t="n"/>
      <c r="M22" s="305" t="n">
        <v>29924</v>
      </c>
    </row>
    <row r="23">
      <c r="A23" s="330" t="n">
        <v>280</v>
      </c>
      <c r="B23" s="331" t="n">
        <v>2800</v>
      </c>
      <c r="C23" s="216" t="inlineStr">
        <is>
          <t>רכוש קבוע</t>
        </is>
      </c>
      <c r="D23" s="333" t="n">
        <v>139904.61</v>
      </c>
      <c r="E23" s="219" t="n"/>
      <c r="F23" s="289" t="n">
        <v>-19500</v>
      </c>
      <c r="G23" s="284">
        <f>D23-E23+F23</f>
        <v/>
      </c>
      <c r="H23" s="284">
        <f>SUM(G22:G23)</f>
        <v/>
      </c>
      <c r="M23" s="305" t="n"/>
    </row>
    <row r="24" ht="17" customHeight="1" s="282" thickBot="1">
      <c r="A24" s="330" t="n">
        <v>280</v>
      </c>
      <c r="B24" s="331" t="n">
        <v>2850</v>
      </c>
      <c r="C24" s="216" t="inlineStr">
        <is>
          <t>פחת נצבר</t>
        </is>
      </c>
      <c r="D24" s="219" t="n"/>
      <c r="E24" s="332" t="n">
        <v>98290</v>
      </c>
      <c r="F24" s="289">
        <f>-16046+19500</f>
        <v/>
      </c>
      <c r="G24" s="284">
        <f>D24-E24+F24</f>
        <v/>
      </c>
      <c r="H24" s="284">
        <f>SUM(G24)</f>
        <v/>
      </c>
      <c r="M24" s="306" t="n">
        <v>36943</v>
      </c>
    </row>
    <row r="25">
      <c r="A25" s="294" t="n"/>
      <c r="B25" s="294" t="n"/>
      <c r="C25" s="295" t="n"/>
      <c r="D25" s="294" t="n"/>
      <c r="E25" s="160" t="n"/>
      <c r="F25" s="289" t="n"/>
      <c r="G25" s="284">
        <f>D25-E25+F25</f>
        <v/>
      </c>
      <c r="H25" s="284" t="n"/>
      <c r="M25" s="298">
        <f>SUM(M22:M24)</f>
        <v/>
      </c>
    </row>
    <row r="26">
      <c r="A26" s="294" t="n"/>
      <c r="B26" s="294" t="n"/>
      <c r="C26" s="295" t="n"/>
      <c r="D26" s="294" t="n"/>
      <c r="E26" s="160" t="n"/>
      <c r="F26" s="289" t="n"/>
      <c r="G26" s="284">
        <f>D26-E26+F26</f>
        <v/>
      </c>
      <c r="H26" s="284" t="n"/>
    </row>
    <row r="27">
      <c r="A27" s="294" t="n">
        <v>290</v>
      </c>
      <c r="B27" s="294" t="n">
        <v>2901</v>
      </c>
      <c r="C27" s="294" t="inlineStr">
        <is>
          <t>מלאי עבודות בביצוע מאזן</t>
        </is>
      </c>
      <c r="D27" s="294" t="n"/>
      <c r="E27" s="160" t="n"/>
      <c r="F27" s="289" t="n">
        <v>39233</v>
      </c>
      <c r="G27" s="284">
        <f>D27-E27+F27</f>
        <v/>
      </c>
      <c r="H27" s="284" t="n"/>
    </row>
    <row r="28">
      <c r="A28" s="294" t="n"/>
      <c r="B28" s="294" t="n"/>
      <c r="C28" s="140" t="inlineStr">
        <is>
          <t>ספקים</t>
        </is>
      </c>
      <c r="D28" s="294" t="n"/>
      <c r="E28" s="160" t="n"/>
      <c r="F28" s="289" t="n"/>
      <c r="G28" s="284">
        <f>D28-E28+F28</f>
        <v/>
      </c>
      <c r="H28" s="284" t="n"/>
    </row>
    <row r="29">
      <c r="A29" s="330" t="n">
        <v>300</v>
      </c>
      <c r="B29" s="331" t="n">
        <v>3004</v>
      </c>
      <c r="C29" s="216" t="inlineStr">
        <is>
          <t>גבס השרון בע"מ</t>
        </is>
      </c>
      <c r="D29" s="219" t="n"/>
      <c r="E29" s="334" t="n">
        <v>1148</v>
      </c>
      <c r="F29" s="289" t="n"/>
      <c r="G29" s="284">
        <f>D29-E29+F29</f>
        <v/>
      </c>
      <c r="H29" s="284" t="n"/>
    </row>
    <row r="30">
      <c r="A30" s="330" t="n">
        <v>300</v>
      </c>
      <c r="B30" s="331" t="n">
        <v>3049</v>
      </c>
      <c r="C30" s="216" t="inlineStr">
        <is>
          <t>דקוליין ציפויים דקורטיביים בע"מ</t>
        </is>
      </c>
      <c r="D30" s="219" t="n"/>
      <c r="E30" s="332" t="n">
        <v>13369</v>
      </c>
      <c r="F30" s="289" t="n"/>
      <c r="G30" s="284">
        <f>D30-E30+F30</f>
        <v/>
      </c>
      <c r="H30" s="284" t="n"/>
    </row>
    <row r="31">
      <c r="A31" s="330" t="n">
        <v>300</v>
      </c>
      <c r="B31" s="331" t="n">
        <v>3080</v>
      </c>
      <c r="C31" s="216" t="inlineStr">
        <is>
          <t>סופרדיל לבנין ולבית</t>
        </is>
      </c>
      <c r="D31" s="219" t="n"/>
      <c r="E31" s="332" t="n">
        <v>31492.1</v>
      </c>
      <c r="F31" s="289" t="n"/>
      <c r="G31" s="284">
        <f>D31-E31+F31</f>
        <v/>
      </c>
      <c r="H31" s="284" t="n"/>
    </row>
    <row r="32">
      <c r="A32" s="330" t="n">
        <v>300</v>
      </c>
      <c r="B32" s="331" t="n">
        <v>3241</v>
      </c>
      <c r="C32" s="216" t="inlineStr">
        <is>
          <t>אורלי - משאבי אנרגיה בע"מ</t>
        </is>
      </c>
      <c r="D32" s="219" t="n"/>
      <c r="E32" s="334" t="n">
        <v>1797</v>
      </c>
      <c r="F32" s="289" t="n"/>
      <c r="G32" s="284">
        <f>D32-E32+F32</f>
        <v/>
      </c>
      <c r="H32" s="284" t="n"/>
    </row>
    <row r="33">
      <c r="A33" s="336" t="n">
        <v>350</v>
      </c>
      <c r="B33" s="337" t="n">
        <v>3515</v>
      </c>
      <c r="C33" s="338" t="inlineStr">
        <is>
          <t>מגדל חברה לביטוח</t>
        </is>
      </c>
      <c r="D33" s="339" t="n"/>
      <c r="E33" s="340" t="n"/>
      <c r="F33" s="289" t="n"/>
      <c r="G33" s="284">
        <f>D33-E33+F33</f>
        <v/>
      </c>
      <c r="H33" s="284">
        <f>SUM(G29:G33)</f>
        <v/>
      </c>
    </row>
    <row r="34">
      <c r="A34" s="294" t="n"/>
      <c r="B34" s="294" t="n"/>
      <c r="C34" s="294" t="n"/>
      <c r="D34" s="294" t="n"/>
      <c r="E34" s="294" t="n"/>
      <c r="F34" s="289" t="n"/>
      <c r="G34" s="284">
        <f>D34-E34+F34</f>
        <v/>
      </c>
      <c r="H34" s="284" t="n"/>
    </row>
    <row r="35">
      <c r="A35" s="294" t="n"/>
      <c r="B35" s="294" t="n"/>
      <c r="C35" s="294" t="inlineStr">
        <is>
          <t>הוצאות מראש</t>
        </is>
      </c>
      <c r="D35" s="294" t="n"/>
      <c r="E35" s="294" t="n"/>
      <c r="F35" s="289" t="n"/>
      <c r="G35" s="284">
        <f>D35-E35+F35</f>
        <v/>
      </c>
      <c r="H35" s="284" t="n"/>
    </row>
    <row r="36">
      <c r="A36" s="294" t="n"/>
      <c r="B36" s="294" t="n"/>
      <c r="C36" s="294" t="n"/>
      <c r="D36" s="294" t="n"/>
      <c r="E36" s="294" t="n"/>
      <c r="F36" s="289" t="n"/>
      <c r="G36" s="284">
        <f>D36-E36+F36</f>
        <v/>
      </c>
      <c r="H36" s="284" t="n"/>
    </row>
    <row r="37">
      <c r="A37" s="285" t="n">
        <v>750</v>
      </c>
      <c r="B37" s="286" t="n">
        <v>7550</v>
      </c>
      <c r="C37" s="206" t="inlineStr">
        <is>
          <t>הוצאות לשלם</t>
        </is>
      </c>
      <c r="D37" s="208" t="n"/>
      <c r="E37" s="301" t="n"/>
      <c r="F37" s="289" t="n"/>
      <c r="G37" s="284">
        <f>D37-E37+F37</f>
        <v/>
      </c>
      <c r="H37" s="284" t="n"/>
    </row>
    <row r="38">
      <c r="A38" s="294" t="n"/>
      <c r="B38" s="294" t="n"/>
      <c r="C38" s="294" t="n"/>
      <c r="D38" s="294" t="n"/>
      <c r="E38" s="294" t="n"/>
      <c r="F38" s="289" t="n"/>
      <c r="G38" s="284">
        <f>D38-E38+F38</f>
        <v/>
      </c>
      <c r="H38" s="284" t="n"/>
    </row>
    <row r="39">
      <c r="A39" s="294" t="n"/>
      <c r="B39" s="294" t="n"/>
      <c r="C39" s="294" t="n"/>
      <c r="D39" s="294" t="n"/>
      <c r="E39" s="294" t="n"/>
      <c r="F39" s="289" t="n"/>
      <c r="G39" s="284">
        <f>D39-E39+F39</f>
        <v/>
      </c>
      <c r="H39" s="284" t="n"/>
    </row>
    <row r="40">
      <c r="A40" s="330" t="n">
        <v>360</v>
      </c>
      <c r="B40" s="331" t="n">
        <v>3600</v>
      </c>
      <c r="C40" s="216" t="inlineStr">
        <is>
          <t>מס הכנסה ניכויים</t>
        </is>
      </c>
      <c r="D40" s="219" t="n"/>
      <c r="E40" s="334" t="n">
        <v>4637</v>
      </c>
      <c r="F40" s="289" t="n"/>
      <c r="G40" s="284">
        <f>D40-E40+F40</f>
        <v/>
      </c>
      <c r="H40" s="284" t="n"/>
    </row>
    <row r="41">
      <c r="A41" s="330" t="n">
        <v>360</v>
      </c>
      <c r="B41" s="331" t="n">
        <v>3610</v>
      </c>
      <c r="C41" s="216" t="inlineStr">
        <is>
          <t>ביטוח לאומי ניכויים</t>
        </is>
      </c>
      <c r="D41" s="219" t="n"/>
      <c r="E41" s="334" t="n">
        <v>4198</v>
      </c>
      <c r="F41" s="289" t="n"/>
      <c r="G41" s="284">
        <f>D41-E41+F41</f>
        <v/>
      </c>
      <c r="H41" s="284" t="n"/>
    </row>
    <row r="42">
      <c r="A42" s="330" t="n">
        <v>351</v>
      </c>
      <c r="B42" s="331" t="n">
        <v>3640</v>
      </c>
      <c r="C42" s="216" t="inlineStr">
        <is>
          <t>הפניקס קרן פנסיה</t>
        </is>
      </c>
      <c r="D42" s="219" t="n"/>
      <c r="E42" s="332" t="n">
        <v>13159</v>
      </c>
      <c r="F42" s="289" t="n"/>
      <c r="G42" s="284">
        <f>D42-E42+F42</f>
        <v/>
      </c>
      <c r="H42" s="284" t="n"/>
    </row>
    <row r="43">
      <c r="A43" s="330" t="n">
        <v>370</v>
      </c>
      <c r="B43" s="331" t="n">
        <v>3702</v>
      </c>
      <c r="C43" s="216" t="inlineStr">
        <is>
          <t>ראובן גבי</t>
        </is>
      </c>
      <c r="D43" s="219" t="n"/>
      <c r="E43" s="334" t="n">
        <v>6800</v>
      </c>
      <c r="F43" s="289" t="n"/>
      <c r="G43" s="284">
        <f>D43-E43+F43</f>
        <v/>
      </c>
      <c r="H43" s="284" t="n"/>
    </row>
    <row r="44">
      <c r="A44" s="330" t="n">
        <v>370</v>
      </c>
      <c r="B44" s="331" t="n">
        <v>3705</v>
      </c>
      <c r="C44" s="216" t="inlineStr">
        <is>
          <t>אבולפיה שמואל</t>
        </is>
      </c>
      <c r="D44" s="219" t="n"/>
      <c r="E44" s="332" t="n">
        <v>49075</v>
      </c>
      <c r="F44" s="289" t="n"/>
      <c r="G44" s="284">
        <f>D44-E44+F44</f>
        <v/>
      </c>
      <c r="H44" s="284" t="n"/>
    </row>
    <row r="45">
      <c r="A45" s="330" t="n">
        <v>370</v>
      </c>
      <c r="B45" s="331" t="n">
        <v>3707</v>
      </c>
      <c r="C45" s="216" t="inlineStr">
        <is>
          <t>ראובן לוסי</t>
        </is>
      </c>
      <c r="D45" s="219" t="n"/>
      <c r="E45" s="335" t="n">
        <v>600</v>
      </c>
      <c r="F45" s="289" t="n"/>
      <c r="G45" s="284">
        <f>D45-E45+F45</f>
        <v/>
      </c>
      <c r="H45" s="284" t="n"/>
    </row>
    <row r="46">
      <c r="A46" s="330" t="n">
        <v>370</v>
      </c>
      <c r="B46" s="331" t="n">
        <v>3717</v>
      </c>
      <c r="C46" s="216" t="inlineStr">
        <is>
          <t>מוריוסף אשר</t>
        </is>
      </c>
      <c r="D46" s="219" t="n"/>
      <c r="E46" s="332" t="n">
        <v>11100</v>
      </c>
      <c r="F46" s="289" t="n"/>
      <c r="G46" s="284">
        <f>D46-E46+F46</f>
        <v/>
      </c>
      <c r="H46" s="284" t="n"/>
    </row>
    <row r="47">
      <c r="A47" s="330" t="n">
        <v>370</v>
      </c>
      <c r="B47" s="331" t="n">
        <v>3731</v>
      </c>
      <c r="C47" s="216" t="inlineStr">
        <is>
          <t>ראובן רחמים</t>
        </is>
      </c>
      <c r="D47" s="219" t="n"/>
      <c r="E47" s="335" t="n">
        <v>969</v>
      </c>
      <c r="F47" s="289" t="n"/>
      <c r="G47" s="284">
        <f>D47-E47+F47</f>
        <v/>
      </c>
      <c r="H47" s="284" t="n"/>
    </row>
    <row r="48">
      <c r="A48" s="330" t="n">
        <v>370</v>
      </c>
      <c r="B48" s="331" t="n">
        <v>3734</v>
      </c>
      <c r="C48" s="216" t="inlineStr">
        <is>
          <t>אגבייב רומן</t>
        </is>
      </c>
      <c r="D48" s="219" t="n"/>
      <c r="E48" s="334" t="n">
        <v>7200</v>
      </c>
      <c r="F48" s="289" t="n"/>
      <c r="G48" s="284">
        <f>D48-E48+F48</f>
        <v/>
      </c>
      <c r="H48" s="284" t="n"/>
    </row>
    <row r="49">
      <c r="A49" s="330" t="n">
        <v>370</v>
      </c>
      <c r="B49" s="331" t="n">
        <v>3735</v>
      </c>
      <c r="C49" s="216" t="inlineStr">
        <is>
          <t>ליפקר דגן</t>
        </is>
      </c>
      <c r="D49" s="219" t="n"/>
      <c r="E49" s="334" t="n">
        <v>6500</v>
      </c>
      <c r="F49" s="289" t="n"/>
      <c r="G49" s="284">
        <f>D49-E49+F49</f>
        <v/>
      </c>
      <c r="H49" s="284" t="n"/>
    </row>
    <row r="50">
      <c r="A50" s="336" t="n">
        <v>370</v>
      </c>
      <c r="B50" s="337" t="n">
        <v>3731</v>
      </c>
      <c r="C50" s="338" t="inlineStr">
        <is>
          <t>ראובן רחמים</t>
        </is>
      </c>
      <c r="D50" s="340" t="n"/>
      <c r="E50" s="339" t="n"/>
      <c r="F50" s="289" t="n"/>
      <c r="G50" s="284">
        <f>D50-E50+F50</f>
        <v/>
      </c>
      <c r="H50" s="284">
        <f>SUM(G40:G50)</f>
        <v/>
      </c>
    </row>
    <row r="51">
      <c r="A51" s="294" t="n"/>
      <c r="B51" s="294" t="n"/>
      <c r="C51" s="140" t="inlineStr">
        <is>
          <t>אגף המכס והבלו</t>
        </is>
      </c>
      <c r="D51" s="294" t="n"/>
      <c r="E51" s="160" t="n"/>
      <c r="F51" s="289" t="n"/>
      <c r="G51" s="284">
        <f>D51-E51+F51</f>
        <v/>
      </c>
      <c r="H51" s="284" t="n"/>
    </row>
    <row r="52">
      <c r="A52" s="330" t="n">
        <v>500</v>
      </c>
      <c r="B52" s="331" t="n">
        <v>5000</v>
      </c>
      <c r="C52" s="216" t="inlineStr">
        <is>
          <t>מעמ תשומות</t>
        </is>
      </c>
      <c r="D52" s="334" t="n">
        <v>4766.68</v>
      </c>
      <c r="E52" s="219" t="n"/>
      <c r="F52" s="289" t="n"/>
      <c r="G52" s="284">
        <f>D52-E52+F52</f>
        <v/>
      </c>
      <c r="H52" s="284" t="n"/>
    </row>
    <row r="53">
      <c r="A53" s="330" t="n">
        <v>500</v>
      </c>
      <c r="B53" s="331" t="n">
        <v>5040</v>
      </c>
      <c r="C53" s="216" t="inlineStr">
        <is>
          <t>חוז מעמ</t>
        </is>
      </c>
      <c r="D53" s="219" t="n"/>
      <c r="E53" s="332" t="n">
        <v>27185</v>
      </c>
      <c r="F53" s="289" t="n"/>
      <c r="G53" s="284">
        <f>D53-E53+F53</f>
        <v/>
      </c>
      <c r="H53" s="284" t="n"/>
    </row>
    <row r="54">
      <c r="A54" s="290" t="n"/>
      <c r="B54" s="291" t="n"/>
      <c r="C54" s="292" t="n"/>
      <c r="D54" s="304" t="n"/>
      <c r="E54" s="311" t="n"/>
      <c r="F54" s="289" t="n"/>
      <c r="G54" s="284">
        <f>D54-E54+F54</f>
        <v/>
      </c>
      <c r="H54" s="284">
        <f>SUM(G52:G54)</f>
        <v/>
      </c>
    </row>
    <row r="55">
      <c r="A55" s="294" t="n"/>
      <c r="B55" s="294" t="n"/>
      <c r="C55" s="295" t="n"/>
      <c r="D55" s="294" t="n"/>
      <c r="E55" s="160" t="n"/>
      <c r="F55" s="289" t="n"/>
      <c r="G55" s="284">
        <f>D55-E55+F55</f>
        <v/>
      </c>
      <c r="H55" s="284" t="n"/>
    </row>
    <row r="56">
      <c r="A56" s="330" t="n">
        <v>510</v>
      </c>
      <c r="B56" s="331" t="n">
        <v>5100</v>
      </c>
      <c r="C56" s="216" t="inlineStr">
        <is>
          <t>ראובן מירון</t>
        </is>
      </c>
      <c r="D56" s="219" t="n"/>
      <c r="E56" s="334" t="n">
        <v>2139.44</v>
      </c>
      <c r="F56" s="289" t="n"/>
      <c r="G56" s="284">
        <f>D56-E56+F56</f>
        <v/>
      </c>
      <c r="H56" s="284" t="n"/>
    </row>
    <row r="57">
      <c r="A57" s="294" t="n"/>
      <c r="B57" s="294" t="n"/>
      <c r="C57" s="295" t="n"/>
      <c r="D57" s="294" t="n"/>
      <c r="E57" s="160" t="n"/>
      <c r="F57" s="289" t="n"/>
      <c r="G57" s="284">
        <f>D57-E57+F57</f>
        <v/>
      </c>
      <c r="H57" s="284" t="n"/>
    </row>
    <row r="58">
      <c r="A58" s="312" t="n">
        <v>400</v>
      </c>
      <c r="B58" s="313" t="n">
        <v>4000</v>
      </c>
      <c r="C58" s="314" t="inlineStr">
        <is>
          <t>הון מניות</t>
        </is>
      </c>
      <c r="D58" s="315" t="n"/>
      <c r="E58" s="316" t="n">
        <v>100</v>
      </c>
      <c r="F58" s="289" t="n"/>
      <c r="G58" s="284">
        <f>D58-E58+F58</f>
        <v/>
      </c>
      <c r="H58" s="284" t="n"/>
    </row>
    <row r="59">
      <c r="A59" s="330" t="n">
        <v>450</v>
      </c>
      <c r="B59" s="331" t="n">
        <v>4500</v>
      </c>
      <c r="C59" s="216" t="inlineStr">
        <is>
          <t>חשבון רווח/הפסד</t>
        </is>
      </c>
      <c r="D59" s="219" t="n"/>
      <c r="E59" s="344" t="n">
        <v>969346.09</v>
      </c>
      <c r="F59" s="289" t="n"/>
      <c r="G59" s="284">
        <f>D59-E59+F59</f>
        <v/>
      </c>
      <c r="H59" s="284" t="n"/>
    </row>
    <row r="60">
      <c r="A60" s="317" t="n"/>
      <c r="B60" s="317" t="n"/>
      <c r="C60" s="317" t="n"/>
      <c r="D60" s="317" t="n"/>
      <c r="E60" s="317" t="n"/>
      <c r="F60" s="317" t="n"/>
      <c r="G60" s="284">
        <f>D60-E60+F60</f>
        <v/>
      </c>
      <c r="H60" s="284" t="n"/>
    </row>
    <row r="61">
      <c r="A61" s="317" t="n"/>
      <c r="B61" s="317" t="n"/>
      <c r="C61" s="317" t="n"/>
      <c r="D61" s="317" t="n"/>
      <c r="E61" s="317" t="n"/>
      <c r="F61" s="317" t="n"/>
      <c r="G61" s="284">
        <f>D61-E61+F61</f>
        <v/>
      </c>
      <c r="H61" s="284" t="n"/>
    </row>
    <row r="62">
      <c r="A62" s="330" t="n">
        <v>600</v>
      </c>
      <c r="B62" s="331" t="n">
        <v>6000</v>
      </c>
      <c r="C62" s="216" t="inlineStr">
        <is>
          <t>הכנסות</t>
        </is>
      </c>
      <c r="D62" s="219" t="n"/>
      <c r="E62" s="333" t="n">
        <v>962928.21</v>
      </c>
      <c r="F62" s="317" t="n"/>
      <c r="G62" s="284">
        <f>D62-E62+F62</f>
        <v/>
      </c>
      <c r="H62" s="284" t="n"/>
    </row>
    <row r="63">
      <c r="A63" s="330" t="n">
        <v>600</v>
      </c>
      <c r="B63" s="331" t="n">
        <v>6008</v>
      </c>
      <c r="C63" s="216" t="inlineStr">
        <is>
          <t>הכנסות מניקוי אוניות פחם - חברת החשמל</t>
        </is>
      </c>
      <c r="D63" s="219" t="n"/>
      <c r="E63" s="333" t="n">
        <v>400792.31</v>
      </c>
      <c r="F63" s="289" t="n"/>
      <c r="G63" s="284">
        <f>D63-E63+F63</f>
        <v/>
      </c>
      <c r="H63" s="284" t="n"/>
    </row>
    <row r="64">
      <c r="A64" s="285" t="n">
        <v>600</v>
      </c>
      <c r="B64" s="286" t="n">
        <v>6010</v>
      </c>
      <c r="C64" s="206" t="inlineStr">
        <is>
          <t>הכנסות - החברה הלאומית לאספקת פחם</t>
        </is>
      </c>
      <c r="D64" s="208" t="n"/>
      <c r="E64" s="299" t="n"/>
      <c r="F64" s="289" t="n"/>
      <c r="G64" s="284">
        <f>D64-E64+F64</f>
        <v/>
      </c>
      <c r="H64" s="284">
        <f>SUM(G62:G65)</f>
        <v/>
      </c>
    </row>
    <row r="65" customFormat="1" s="298">
      <c r="A65" s="285" t="n">
        <v>610</v>
      </c>
      <c r="B65" s="286" t="n">
        <v>6250</v>
      </c>
      <c r="C65" s="206" t="inlineStr">
        <is>
          <t>מכירת ציוד חייב מעמ</t>
        </is>
      </c>
      <c r="D65" s="208" t="n"/>
      <c r="E65" s="301" t="n"/>
      <c r="F65" s="289" t="n"/>
      <c r="G65" s="284">
        <f>D65-E65+F65</f>
        <v/>
      </c>
      <c r="H65" s="284" t="n"/>
    </row>
    <row r="66" customFormat="1" s="298">
      <c r="A66" s="290" t="n"/>
      <c r="B66" s="291" t="n"/>
      <c r="C66" s="292" t="n"/>
      <c r="D66" s="304" t="n"/>
      <c r="E66" s="318" t="n"/>
      <c r="F66" s="289" t="n"/>
      <c r="G66" s="284" t="n"/>
      <c r="H66" s="284" t="n"/>
    </row>
    <row r="67">
      <c r="A67" s="330" t="n">
        <v>650</v>
      </c>
      <c r="B67" s="331" t="n">
        <v>6500</v>
      </c>
      <c r="C67" s="216" t="inlineStr">
        <is>
          <t>קניות</t>
        </is>
      </c>
      <c r="D67" s="333" t="n">
        <v>259639.76</v>
      </c>
      <c r="E67" s="294" t="n"/>
      <c r="F67" s="289" t="n"/>
      <c r="G67" s="284">
        <f>D67-E67+F67</f>
        <v/>
      </c>
      <c r="H67" s="284" t="n"/>
    </row>
    <row r="68">
      <c r="A68" s="330" t="n">
        <v>660</v>
      </c>
      <c r="B68" s="331" t="n">
        <v>6600</v>
      </c>
      <c r="C68" s="216" t="inlineStr">
        <is>
          <t>קבלני משנה</t>
        </is>
      </c>
      <c r="D68" s="333" t="n">
        <v>143680.35</v>
      </c>
      <c r="E68" s="294" t="n"/>
      <c r="F68" s="289" t="n"/>
      <c r="G68" s="284">
        <f>D68-E68+F68</f>
        <v/>
      </c>
      <c r="H68" s="284" t="n"/>
    </row>
    <row r="69">
      <c r="A69" s="330" t="n">
        <v>660</v>
      </c>
      <c r="B69" s="331" t="n">
        <v>6605</v>
      </c>
      <c r="C69" s="216" t="inlineStr">
        <is>
          <t>פינוי פסולת</t>
        </is>
      </c>
      <c r="D69" s="332" t="n">
        <v>17600</v>
      </c>
      <c r="E69" s="294" t="n"/>
      <c r="F69" s="289" t="n"/>
      <c r="G69" s="284">
        <f>D69-E69+F69</f>
        <v/>
      </c>
      <c r="H69" s="284" t="n"/>
    </row>
    <row r="70">
      <c r="A70" s="330" t="n">
        <v>730</v>
      </c>
      <c r="B70" s="331" t="n">
        <v>7301</v>
      </c>
      <c r="C70" s="216" t="inlineStr">
        <is>
          <t>כלי עבודה</t>
        </is>
      </c>
      <c r="D70" s="334" t="n">
        <v>1305.05</v>
      </c>
      <c r="E70" s="294" t="n"/>
      <c r="F70" s="289" t="n"/>
      <c r="G70" s="284">
        <f>D70-E70+F70</f>
        <v/>
      </c>
      <c r="H70" s="284">
        <f>SUM(G67:G70)</f>
        <v/>
      </c>
    </row>
    <row r="71">
      <c r="A71" s="300" t="n"/>
      <c r="B71" s="300" t="n"/>
      <c r="C71" s="302" t="n"/>
      <c r="D71" s="170" t="n"/>
      <c r="E71" s="294" t="n"/>
      <c r="F71" s="289" t="n"/>
      <c r="G71" s="284">
        <f>D71-E71+F71</f>
        <v/>
      </c>
      <c r="H71" s="284" t="n"/>
    </row>
    <row r="72">
      <c r="A72" s="330" t="n">
        <v>650</v>
      </c>
      <c r="B72" s="331" t="n">
        <v>6400</v>
      </c>
      <c r="C72" s="216" t="inlineStr">
        <is>
          <t>מלאי פתיחה רווח והפסד</t>
        </is>
      </c>
      <c r="D72" s="332" t="n">
        <v>33344</v>
      </c>
      <c r="E72" s="300" t="n"/>
      <c r="F72" s="294" t="n"/>
      <c r="G72" s="284">
        <f>D72-E72+F72</f>
        <v/>
      </c>
      <c r="H72" s="284" t="n"/>
    </row>
    <row r="73">
      <c r="A73" s="320" t="n">
        <v>720</v>
      </c>
      <c r="B73" s="321" t="n">
        <v>6800</v>
      </c>
      <c r="C73" s="164" t="inlineStr">
        <is>
          <t>מלאי  סגירה רווח והפסד</t>
        </is>
      </c>
      <c r="D73" s="165" t="n"/>
      <c r="E73" s="322" t="n"/>
      <c r="F73" s="294" t="n">
        <v>-39233</v>
      </c>
      <c r="G73" s="284">
        <f>D73-E73+F73</f>
        <v/>
      </c>
      <c r="H73" s="284">
        <f>SUM(G72:G73)</f>
        <v/>
      </c>
    </row>
    <row r="74">
      <c r="A74" s="317" t="n"/>
      <c r="B74" s="294" t="n"/>
      <c r="C74" s="295" t="n"/>
      <c r="D74" s="294" t="n"/>
      <c r="E74" s="294" t="n"/>
      <c r="F74" s="294" t="n"/>
      <c r="G74" s="284">
        <f>D74-E74+F74</f>
        <v/>
      </c>
      <c r="H74" s="284" t="n"/>
    </row>
    <row r="75">
      <c r="A75" s="330" t="n">
        <v>700</v>
      </c>
      <c r="B75" s="331" t="n">
        <v>7000</v>
      </c>
      <c r="C75" s="216" t="inlineStr">
        <is>
          <t>שכר עבודה</t>
        </is>
      </c>
      <c r="D75" s="333" t="n">
        <v>547254</v>
      </c>
      <c r="E75" s="219" t="n"/>
      <c r="F75" s="289" t="n"/>
      <c r="G75" s="284">
        <f>D75-E75+F75</f>
        <v/>
      </c>
      <c r="H75" s="284" t="n"/>
    </row>
    <row r="76">
      <c r="A76" s="330" t="n">
        <v>700</v>
      </c>
      <c r="B76" s="331" t="n">
        <v>7001</v>
      </c>
      <c r="C76" s="216" t="inlineStr">
        <is>
          <t>סוציאליות</t>
        </is>
      </c>
      <c r="D76" s="332" t="n">
        <v>26677</v>
      </c>
      <c r="E76" s="219" t="n"/>
      <c r="F76" s="289" t="n"/>
      <c r="G76" s="284">
        <f>D76-E76+F76</f>
        <v/>
      </c>
      <c r="H76" s="284" t="n"/>
      <c r="J76" s="298">
        <f>SUM(G63:G113)</f>
        <v/>
      </c>
    </row>
    <row r="77">
      <c r="A77" s="330" t="n">
        <v>700</v>
      </c>
      <c r="B77" s="331" t="n">
        <v>7002</v>
      </c>
      <c r="C77" s="216" t="inlineStr">
        <is>
          <t>גמל מעביד</t>
        </is>
      </c>
      <c r="D77" s="332" t="n">
        <v>17029</v>
      </c>
      <c r="E77" s="219" t="n"/>
      <c r="F77" s="289" t="n"/>
      <c r="G77" s="284">
        <f>D77-E77+F77</f>
        <v/>
      </c>
      <c r="H77" s="284" t="n"/>
    </row>
    <row r="78">
      <c r="A78" s="330" t="n">
        <v>700</v>
      </c>
      <c r="B78" s="331" t="n">
        <v>7006</v>
      </c>
      <c r="C78" s="216" t="inlineStr">
        <is>
          <t>הוצ גמל פיצויים</t>
        </is>
      </c>
      <c r="D78" s="332" t="n">
        <v>20759</v>
      </c>
      <c r="E78" s="219" t="n"/>
      <c r="F78" s="289" t="n"/>
      <c r="G78" s="284">
        <f>D78-E78+F78</f>
        <v/>
      </c>
      <c r="H78" s="284" t="n"/>
    </row>
    <row r="79">
      <c r="A79" s="330" t="n">
        <v>700</v>
      </c>
      <c r="B79" s="331" t="n">
        <v>7010</v>
      </c>
      <c r="C79" s="216" t="inlineStr">
        <is>
          <t>הכנסות זקופות</t>
        </is>
      </c>
      <c r="D79" s="219" t="n"/>
      <c r="E79" s="334" t="n">
        <v>4319</v>
      </c>
      <c r="F79" s="289" t="n"/>
      <c r="G79" s="284">
        <f>D79-E79+F79</f>
        <v/>
      </c>
      <c r="H79" s="284" t="n"/>
    </row>
    <row r="80">
      <c r="A80" s="330" t="n">
        <v>700</v>
      </c>
      <c r="B80" s="331" t="n">
        <v>7020</v>
      </c>
      <c r="C80" s="216" t="inlineStr">
        <is>
          <t>הוצאות פיצויים (בתלוש)</t>
        </is>
      </c>
      <c r="D80" s="332" t="n">
        <v>43456</v>
      </c>
      <c r="E80" s="219" t="n"/>
      <c r="F80" s="289" t="n"/>
      <c r="G80" s="284">
        <f>D80-E80+F80</f>
        <v/>
      </c>
      <c r="H80" s="284" t="n"/>
    </row>
    <row r="81">
      <c r="A81" s="290" t="n"/>
      <c r="B81" s="291" t="n"/>
      <c r="C81" s="292" t="n"/>
      <c r="D81" s="323" t="n"/>
      <c r="E81" s="294" t="n"/>
      <c r="F81" s="289" t="n"/>
      <c r="G81" s="284">
        <f>D81-E81+F81</f>
        <v/>
      </c>
      <c r="H81" s="284">
        <f>SUM(G75:G81)</f>
        <v/>
      </c>
    </row>
    <row r="82">
      <c r="A82" s="294" t="n"/>
      <c r="B82" s="294" t="n"/>
      <c r="C82" s="295" t="n"/>
      <c r="D82" s="160" t="n"/>
      <c r="E82" s="294" t="n"/>
      <c r="F82" s="289" t="n"/>
      <c r="G82" s="284">
        <f>D82-E82+F82</f>
        <v/>
      </c>
      <c r="H82" s="284" t="n"/>
    </row>
    <row r="83">
      <c r="A83" s="285" t="n">
        <v>720</v>
      </c>
      <c r="B83" s="286" t="n">
        <v>7251</v>
      </c>
      <c r="C83" s="206" t="inlineStr">
        <is>
          <t>השתלמויות וקורסים</t>
        </is>
      </c>
      <c r="D83" s="299" t="n"/>
      <c r="E83" s="300" t="n"/>
      <c r="F83" s="289" t="n"/>
      <c r="G83" s="284">
        <f>D83-E83+F83</f>
        <v/>
      </c>
      <c r="H83" s="284" t="n"/>
    </row>
    <row r="84">
      <c r="A84" s="330" t="n">
        <v>720</v>
      </c>
      <c r="B84" s="331" t="n">
        <v>7200</v>
      </c>
      <c r="C84" s="216" t="inlineStr">
        <is>
          <t>משרדיות</t>
        </is>
      </c>
      <c r="D84" s="334" t="n">
        <v>1037.12</v>
      </c>
      <c r="E84" s="300" t="n"/>
      <c r="F84" s="289" t="n"/>
      <c r="G84" s="284">
        <f>D84-E84+F84</f>
        <v/>
      </c>
      <c r="H84" s="284">
        <f>SUM(G83:G84)</f>
        <v/>
      </c>
    </row>
    <row r="85">
      <c r="A85" s="294" t="n"/>
      <c r="B85" s="294" t="n"/>
      <c r="C85" s="295" t="n"/>
      <c r="D85" s="160" t="n"/>
      <c r="E85" s="300" t="n"/>
      <c r="F85" s="289" t="n"/>
      <c r="G85" s="284" t="n"/>
      <c r="H85" s="284" t="n"/>
    </row>
    <row r="86">
      <c r="A86" s="330" t="n">
        <v>720</v>
      </c>
      <c r="B86" s="331" t="n">
        <v>7204</v>
      </c>
      <c r="C86" s="216" t="inlineStr">
        <is>
          <t>אגרות</t>
        </is>
      </c>
      <c r="D86" s="334" t="n">
        <v>1133</v>
      </c>
      <c r="E86" s="300" t="n"/>
      <c r="F86" s="289" t="n"/>
      <c r="G86" s="284">
        <f>D86-E86+F86</f>
        <v/>
      </c>
      <c r="H86" s="284">
        <f>SUM(G84:G86)</f>
        <v/>
      </c>
    </row>
    <row r="87">
      <c r="A87" s="317" t="n"/>
      <c r="B87" s="317" t="n"/>
      <c r="C87" s="317" t="n"/>
      <c r="D87" s="317" t="n"/>
      <c r="E87" s="317" t="n"/>
      <c r="F87" s="317" t="n"/>
      <c r="G87" s="284">
        <f>D87-E87+F87</f>
        <v/>
      </c>
      <c r="H87" s="284" t="n"/>
    </row>
    <row r="88">
      <c r="A88" s="330" t="n">
        <v>720</v>
      </c>
      <c r="B88" s="331" t="n">
        <v>7206</v>
      </c>
      <c r="C88" s="216" t="inlineStr">
        <is>
          <t>שכ"ט ומשפטיות</t>
        </is>
      </c>
      <c r="D88" s="334" t="n">
        <v>5128.21</v>
      </c>
      <c r="E88" s="300" t="n"/>
      <c r="F88" s="289" t="n"/>
      <c r="G88" s="284">
        <f>D88-E88+F88</f>
        <v/>
      </c>
      <c r="H88" s="284" t="n"/>
    </row>
    <row r="89">
      <c r="A89" s="330" t="n">
        <v>720</v>
      </c>
      <c r="B89" s="331" t="n">
        <v>7250</v>
      </c>
      <c r="C89" s="216" t="inlineStr">
        <is>
          <t>הנהח וביקורת</t>
        </is>
      </c>
      <c r="D89" s="334" t="n">
        <v>1282.05</v>
      </c>
      <c r="E89" s="300" t="n"/>
      <c r="F89" s="289" t="n"/>
      <c r="G89" s="284">
        <f>D89-E89+F89</f>
        <v/>
      </c>
      <c r="H89" s="284">
        <f>SUM(G88:G89)</f>
        <v/>
      </c>
    </row>
    <row r="90">
      <c r="A90" s="300" t="n"/>
      <c r="B90" s="300" t="n"/>
      <c r="C90" s="300" t="n"/>
      <c r="D90" s="300" t="n"/>
      <c r="E90" s="300" t="n"/>
      <c r="F90" s="289" t="n"/>
      <c r="G90" s="284">
        <f>D90-E90+F90</f>
        <v/>
      </c>
      <c r="H90" s="284" t="n"/>
    </row>
    <row r="91">
      <c r="A91" s="330" t="n">
        <v>720</v>
      </c>
      <c r="B91" s="331" t="n">
        <v>7210</v>
      </c>
      <c r="C91" s="216" t="inlineStr">
        <is>
          <t>טלפון ותקשורת</t>
        </is>
      </c>
      <c r="D91" s="334" t="n">
        <v>2807.18</v>
      </c>
      <c r="E91" s="300" t="n"/>
      <c r="F91" s="289" t="n"/>
      <c r="G91" s="284">
        <f>D91-E91+F91</f>
        <v/>
      </c>
      <c r="H91" s="284" t="n"/>
    </row>
    <row r="92">
      <c r="A92" s="300" t="n"/>
      <c r="B92" s="300" t="n"/>
      <c r="C92" s="300" t="n"/>
      <c r="D92" s="300" t="n"/>
      <c r="E92" s="300" t="n"/>
      <c r="F92" s="289" t="n"/>
      <c r="G92" s="284">
        <f>D92-E92+F92</f>
        <v/>
      </c>
      <c r="H92" s="284" t="n"/>
    </row>
    <row r="93">
      <c r="A93" s="320" t="n">
        <v>730</v>
      </c>
      <c r="B93" s="321" t="n">
        <v>7302</v>
      </c>
      <c r="C93" s="164" t="inlineStr">
        <is>
          <t>הובלות</t>
        </is>
      </c>
      <c r="D93" s="325" t="n"/>
      <c r="E93" s="300" t="n"/>
      <c r="F93" s="289" t="n"/>
      <c r="G93" s="284">
        <f>D93-E93+F93</f>
        <v/>
      </c>
      <c r="H93" s="284" t="n"/>
    </row>
    <row r="94">
      <c r="A94" s="300" t="n"/>
      <c r="B94" s="300" t="n"/>
      <c r="C94" s="300" t="n"/>
      <c r="D94" s="300" t="n"/>
      <c r="E94" s="300" t="n"/>
      <c r="F94" s="289" t="n"/>
      <c r="G94" s="284">
        <f>D94-E94+F94</f>
        <v/>
      </c>
      <c r="H94" s="284" t="n"/>
    </row>
    <row r="95">
      <c r="A95" s="330" t="n">
        <v>720</v>
      </c>
      <c r="B95" s="331" t="n">
        <v>7201</v>
      </c>
      <c r="C95" s="216" t="inlineStr">
        <is>
          <t>ביטוחים</t>
        </is>
      </c>
      <c r="D95" s="332" t="n">
        <v>31680</v>
      </c>
      <c r="E95" s="300" t="n"/>
      <c r="F95" s="289" t="n"/>
      <c r="G95" s="284">
        <f>D95-E95+F95</f>
        <v/>
      </c>
      <c r="H95" s="284" t="n"/>
    </row>
    <row r="96">
      <c r="A96" s="300" t="n">
        <v>720</v>
      </c>
      <c r="B96" s="300" t="n">
        <v>7251</v>
      </c>
      <c r="C96" s="302" t="inlineStr">
        <is>
          <t>השתלמויות וקורסים</t>
        </is>
      </c>
      <c r="D96" s="170" t="n"/>
      <c r="E96" s="300" t="n"/>
      <c r="F96" s="289" t="n"/>
      <c r="G96" s="284">
        <f>D96-E96+F96</f>
        <v/>
      </c>
      <c r="H96" s="284" t="n"/>
    </row>
    <row r="97">
      <c r="A97" s="320" t="n">
        <v>720</v>
      </c>
      <c r="B97" s="321" t="n">
        <v>7207</v>
      </c>
      <c r="C97" s="164" t="inlineStr">
        <is>
          <t>בטיחות בעבודה</t>
        </is>
      </c>
      <c r="D97" s="325" t="n"/>
      <c r="E97" s="300" t="n"/>
      <c r="F97" s="289" t="n"/>
      <c r="G97" s="284">
        <f>D97-E97+F97</f>
        <v/>
      </c>
      <c r="H97" s="284" t="n"/>
    </row>
    <row r="98">
      <c r="A98" s="285" t="n">
        <v>720</v>
      </c>
      <c r="B98" s="286" t="n">
        <v>7221</v>
      </c>
      <c r="C98" s="206" t="inlineStr">
        <is>
          <t>בדיקות תקופתיות</t>
        </is>
      </c>
      <c r="D98" s="301" t="n"/>
      <c r="E98" s="300" t="n"/>
      <c r="F98" s="289" t="n"/>
      <c r="G98" s="284">
        <f>D98-E98+F98</f>
        <v/>
      </c>
      <c r="H98" s="284" t="n"/>
    </row>
    <row r="99">
      <c r="A99" s="330" t="n">
        <v>730</v>
      </c>
      <c r="B99" s="331" t="n">
        <v>7300</v>
      </c>
      <c r="C99" s="216" t="inlineStr">
        <is>
          <t>אחזקה ותיקונים - ציוד</t>
        </is>
      </c>
      <c r="D99" s="335" t="n"/>
      <c r="E99" s="300" t="n"/>
      <c r="F99" s="289" t="n"/>
      <c r="G99" s="284">
        <f>D99-E99+F99</f>
        <v/>
      </c>
      <c r="H99" s="284">
        <f>SUM(G97:G99)</f>
        <v/>
      </c>
    </row>
    <row r="100">
      <c r="A100" s="294" t="n">
        <v>750</v>
      </c>
      <c r="B100" s="294" t="n">
        <v>7500</v>
      </c>
      <c r="C100" s="295" t="inlineStr">
        <is>
          <t>הוצאות פחת</t>
        </is>
      </c>
      <c r="D100" s="160" t="n"/>
      <c r="E100" s="294" t="n"/>
      <c r="F100" s="289" t="n">
        <v>16046</v>
      </c>
      <c r="G100" s="284">
        <f>D100-E100+F100</f>
        <v/>
      </c>
      <c r="H100" s="284" t="n"/>
    </row>
    <row r="101">
      <c r="A101" s="294" t="n"/>
      <c r="B101" s="294" t="n"/>
      <c r="C101" s="295" t="n"/>
      <c r="D101" s="160" t="n"/>
      <c r="E101" s="294" t="n"/>
      <c r="F101" s="289" t="n"/>
      <c r="G101" s="284">
        <f>D101-E101+F101</f>
        <v/>
      </c>
      <c r="H101" s="284" t="n"/>
    </row>
    <row r="102">
      <c r="A102" s="330" t="n">
        <v>760</v>
      </c>
      <c r="B102" s="331" t="n">
        <v>7600</v>
      </c>
      <c r="C102" s="216" t="inlineStr">
        <is>
          <t>24-388-73  יונדאי דלק    (10.2016)</t>
        </is>
      </c>
      <c r="D102" s="332" t="n">
        <v>19231.77</v>
      </c>
      <c r="E102" s="294" t="n"/>
      <c r="F102" s="289" t="n"/>
      <c r="G102" s="284">
        <f>D102-E102+F102</f>
        <v/>
      </c>
      <c r="H102" s="284" t="n"/>
    </row>
    <row r="103">
      <c r="A103" s="330" t="n">
        <v>760</v>
      </c>
      <c r="B103" s="331" t="n">
        <v>7601</v>
      </c>
      <c r="C103" s="216" t="inlineStr">
        <is>
          <t>24-388-73  יונדאי הוצ שוטפות    (10.2016)</t>
        </is>
      </c>
      <c r="D103" s="334" t="n">
        <v>2484.59</v>
      </c>
      <c r="E103" s="294" t="n"/>
      <c r="F103" s="289" t="n"/>
      <c r="G103" s="284">
        <f>D103-E103+F103</f>
        <v/>
      </c>
      <c r="H103" s="284" t="n"/>
    </row>
    <row r="104">
      <c r="A104" s="330" t="n">
        <v>760</v>
      </c>
      <c r="B104" s="331" t="n">
        <v>7602</v>
      </c>
      <c r="C104" s="216" t="inlineStr">
        <is>
          <t>24-388-73  יונדאי ביטוחים    (10.2016)</t>
        </is>
      </c>
      <c r="D104" s="334" t="n">
        <v>4096</v>
      </c>
      <c r="E104" s="294" t="n"/>
      <c r="F104" s="289" t="n"/>
      <c r="G104" s="284">
        <f>D104-E104+F104</f>
        <v/>
      </c>
      <c r="H104" s="284">
        <f>SUM(G102:G104)</f>
        <v/>
      </c>
    </row>
    <row r="105">
      <c r="A105" s="300" t="n"/>
      <c r="B105" s="300" t="n"/>
      <c r="C105" s="302" t="n"/>
      <c r="D105" s="170" t="n"/>
      <c r="E105" s="300" t="n"/>
      <c r="F105" s="289" t="n"/>
      <c r="G105" s="284">
        <f>D105-E105+F105</f>
        <v/>
      </c>
      <c r="H105" s="284" t="n"/>
    </row>
    <row r="106">
      <c r="A106" s="330" t="n">
        <v>720</v>
      </c>
      <c r="B106" s="331" t="n">
        <v>7455</v>
      </c>
      <c r="C106" s="216" t="inlineStr">
        <is>
          <t>הוצאות דיבדנד</t>
        </is>
      </c>
      <c r="D106" s="333" t="n">
        <v>285714</v>
      </c>
      <c r="E106" s="300" t="n"/>
      <c r="F106" s="289" t="n"/>
      <c r="G106" s="284">
        <f>D106-E106+F106</f>
        <v/>
      </c>
      <c r="H106" s="284" t="n"/>
    </row>
    <row r="107">
      <c r="A107" s="300" t="n"/>
      <c r="B107" s="300" t="n"/>
      <c r="C107" s="302" t="inlineStr">
        <is>
          <t>הפסד הון</t>
        </is>
      </c>
      <c r="D107" s="170" t="n"/>
      <c r="E107" s="300" t="n"/>
      <c r="F107" s="289" t="n"/>
      <c r="G107" s="284">
        <f>D107-E107+F107</f>
        <v/>
      </c>
      <c r="H107" s="284" t="n"/>
    </row>
    <row r="108">
      <c r="A108" s="300" t="n"/>
      <c r="B108" s="300" t="n"/>
      <c r="C108" s="302" t="n"/>
      <c r="D108" s="170" t="n"/>
      <c r="E108" s="300" t="n"/>
      <c r="F108" s="289" t="n"/>
      <c r="G108" s="284" t="n"/>
      <c r="H108" s="284" t="n"/>
    </row>
    <row r="109">
      <c r="A109" s="330" t="n">
        <v>790</v>
      </c>
      <c r="B109" s="331" t="n">
        <v>7900</v>
      </c>
      <c r="C109" s="216" t="inlineStr">
        <is>
          <t>ריבית ועמלות בנק</t>
        </is>
      </c>
      <c r="D109" s="334" t="n">
        <v>2230.06</v>
      </c>
      <c r="E109" s="219" t="n"/>
      <c r="F109" s="289" t="n"/>
      <c r="G109" s="284">
        <f>D109-E109+F109</f>
        <v/>
      </c>
      <c r="H109" s="284" t="n"/>
    </row>
    <row r="110">
      <c r="A110" s="330" t="n">
        <v>790</v>
      </c>
      <c r="B110" s="331" t="n">
        <v>7920</v>
      </c>
      <c r="C110" s="216" t="inlineStr">
        <is>
          <t>ריבית מס הכנסה</t>
        </is>
      </c>
      <c r="D110" s="219" t="n"/>
      <c r="E110" s="334" t="n">
        <v>2394</v>
      </c>
      <c r="F110" s="289" t="n"/>
      <c r="G110" s="284">
        <f>D110-E110+F110</f>
        <v/>
      </c>
      <c r="H110" s="284" t="n"/>
    </row>
    <row r="111">
      <c r="A111" s="330" t="n">
        <v>790</v>
      </c>
      <c r="B111" s="331" t="n">
        <v>7999</v>
      </c>
      <c r="C111" s="216" t="inlineStr">
        <is>
          <t>ביטול ייתרות</t>
        </is>
      </c>
      <c r="D111" s="335" t="n">
        <v>290.01</v>
      </c>
      <c r="E111" s="219" t="n"/>
      <c r="F111" s="289" t="n"/>
      <c r="G111" s="284">
        <f>D111-E111+F111</f>
        <v/>
      </c>
      <c r="H111" s="284" t="n"/>
    </row>
    <row r="112">
      <c r="A112" s="330" t="n">
        <v>790</v>
      </c>
      <c r="B112" s="331" t="n">
        <v>7999</v>
      </c>
      <c r="C112" s="216" t="inlineStr">
        <is>
          <t>ביטול ייתרות</t>
        </is>
      </c>
      <c r="D112" s="345" t="n"/>
      <c r="E112" s="300" t="n"/>
      <c r="F112" s="289" t="n"/>
      <c r="G112" s="284">
        <f>D112-E112+F112</f>
        <v/>
      </c>
      <c r="H112" s="284" t="n"/>
    </row>
    <row r="113">
      <c r="A113" s="320" t="n"/>
      <c r="B113" s="321" t="n"/>
      <c r="C113" s="164" t="n"/>
      <c r="D113" s="327" t="n"/>
      <c r="E113" s="300" t="n"/>
      <c r="F113" s="289" t="n"/>
      <c r="G113" s="284">
        <f>D113-E113+F113</f>
        <v/>
      </c>
      <c r="H113" s="284">
        <f>SUM(G109:G112)</f>
        <v/>
      </c>
    </row>
    <row r="114">
      <c r="A114" s="320" t="n"/>
      <c r="B114" s="321" t="n"/>
      <c r="C114" s="164" t="n"/>
      <c r="D114" s="327" t="n"/>
      <c r="E114" s="165" t="n"/>
      <c r="F114" s="296" t="n"/>
      <c r="G114" s="284">
        <f>D114-E114+F114</f>
        <v/>
      </c>
      <c r="H114" s="283" t="n"/>
    </row>
    <row r="115">
      <c r="A115" s="328" t="n"/>
      <c r="B115" s="328" t="n"/>
      <c r="C115" s="329" t="n"/>
      <c r="D115" s="328">
        <f>SUM(D3:D113)</f>
        <v/>
      </c>
      <c r="E115" s="328">
        <f>SUM(E5:E113)</f>
        <v/>
      </c>
      <c r="F115" s="328">
        <f>SUM(F4:F114)</f>
        <v/>
      </c>
      <c r="G115" s="328">
        <f>SUM(G4:G114)</f>
        <v/>
      </c>
      <c r="H115" s="283" t="n"/>
    </row>
    <row r="116">
      <c r="A116" s="296" t="n"/>
      <c r="B116" s="296" t="n"/>
      <c r="C116" s="296" t="n"/>
      <c r="D116" s="296" t="n"/>
      <c r="E116" s="296" t="n"/>
      <c r="F116" s="296" t="n"/>
      <c r="G116" s="296"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A133" s="296" t="n"/>
      <c r="B133" s="296" t="n"/>
      <c r="C133" s="296" t="n"/>
      <c r="D133" s="296" t="n"/>
      <c r="E133" s="296" t="n"/>
      <c r="F133" s="296" t="n"/>
      <c r="G133" s="296" t="n"/>
    </row>
    <row r="134">
      <c r="A134" s="296" t="n"/>
      <c r="B134" s="296" t="n"/>
      <c r="C134" s="296" t="n"/>
      <c r="D134" s="296" t="n"/>
      <c r="E134" s="296" t="n"/>
      <c r="F134" s="296" t="n"/>
      <c r="G134" s="296" t="n"/>
    </row>
    <row r="135">
      <c r="A135" s="296" t="n"/>
      <c r="B135" s="296" t="n"/>
      <c r="C135" s="296" t="n"/>
      <c r="D135" s="296" t="n"/>
      <c r="E135" s="296" t="n"/>
      <c r="F135" s="296" t="n"/>
      <c r="G135" s="296" t="n"/>
    </row>
    <row r="136">
      <c r="G136" s="298"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row r="386">
      <c r="G386" s="298" t="n"/>
    </row>
    <row r="387">
      <c r="G387" s="298" t="n"/>
    </row>
    <row r="388">
      <c r="G388" s="298"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99"/>
  <sheetViews>
    <sheetView rightToLeft="1" topLeftCell="A70" workbookViewId="0">
      <selection activeCell="B78" sqref="B78:E78"/>
    </sheetView>
  </sheetViews>
  <sheetFormatPr baseColWidth="10" defaultRowHeight="16"/>
  <cols>
    <col width="21.19921875" customWidth="1" style="282" min="1" max="1"/>
    <col width="9" customWidth="1" style="282" min="2" max="3"/>
    <col width="32" bestFit="1" customWidth="1" style="282" min="4" max="4"/>
    <col width="11.19921875" bestFit="1" customWidth="1" style="282" min="5" max="6"/>
    <col width="15.19921875" bestFit="1" customWidth="1" style="282" min="7" max="7"/>
    <col width="9" customWidth="1" style="282" min="8" max="256"/>
  </cols>
  <sheetData>
    <row r="1">
      <c r="A1" s="185" t="inlineStr">
        <is>
          <t>מירון ראובן עבודות ציבוריות בע"מ                                  ע.מ. 513831529</t>
        </is>
      </c>
      <c r="B1" s="230" t="n"/>
      <c r="C1" s="230" t="n"/>
      <c r="D1" s="230" t="n"/>
      <c r="E1" s="230" t="n"/>
      <c r="F1" s="230" t="n"/>
      <c r="G1" s="230" t="n"/>
    </row>
    <row r="2" ht="20" customHeight="1" s="282">
      <c r="A2" s="187" t="inlineStr">
        <is>
          <t>מאזן בוחן</t>
        </is>
      </c>
      <c r="B2" s="230" t="n"/>
      <c r="C2" s="230" t="n"/>
      <c r="D2" s="230" t="n"/>
      <c r="E2" s="230" t="n"/>
      <c r="F2" s="230" t="n"/>
      <c r="G2" s="186" t="inlineStr">
        <is>
          <t>03/09/2023 14:13:43</t>
        </is>
      </c>
    </row>
    <row r="3">
      <c r="A3" s="189" t="inlineStr">
        <is>
          <t>ת.אסמכתא בין 31/12/22-01/01/80 ת.ערך בין 31/12/29-01/01/80 ת.נוסף 3 בין 31/12/29-01/01/80</t>
        </is>
      </c>
      <c r="B3" s="230" t="n"/>
      <c r="C3" s="230" t="n"/>
      <c r="D3" s="230" t="n"/>
      <c r="E3" s="230" t="n"/>
      <c r="F3" s="230" t="n"/>
      <c r="G3" s="230" t="n"/>
    </row>
    <row r="4">
      <c r="A4" s="230" t="n"/>
      <c r="B4" s="190" t="inlineStr">
        <is>
          <t>מיון</t>
        </is>
      </c>
      <c r="C4" s="190" t="inlineStr">
        <is>
          <t>חשבון</t>
        </is>
      </c>
      <c r="D4" s="190" t="inlineStr">
        <is>
          <t>שם חשבון</t>
        </is>
      </c>
      <c r="E4" s="190" t="inlineStr">
        <is>
          <t>חובה</t>
        </is>
      </c>
      <c r="F4" s="190" t="inlineStr">
        <is>
          <t>זכות</t>
        </is>
      </c>
      <c r="G4" s="190" t="inlineStr">
        <is>
          <t>הפרש</t>
        </is>
      </c>
    </row>
    <row r="5">
      <c r="A5" s="191" t="inlineStr">
        <is>
          <t>קופות</t>
        </is>
      </c>
      <c r="B5" s="230" t="n"/>
      <c r="C5" s="230" t="n"/>
      <c r="D5" s="230" t="n"/>
      <c r="E5" s="230" t="n"/>
      <c r="F5" s="230" t="n"/>
      <c r="G5" s="230" t="n"/>
    </row>
    <row r="6">
      <c r="A6" s="230" t="n"/>
      <c r="B6" s="285" t="n">
        <v>100</v>
      </c>
      <c r="C6" s="286" t="n">
        <v>1005</v>
      </c>
      <c r="D6" s="206" t="inlineStr">
        <is>
          <t>קופת שקים</t>
        </is>
      </c>
      <c r="E6" s="299" t="n">
        <v>13894</v>
      </c>
      <c r="F6" s="230" t="n"/>
      <c r="G6" s="230" t="n"/>
    </row>
    <row r="7">
      <c r="A7" s="191" t="inlineStr">
        <is>
          <t>אשראי לז"ק</t>
        </is>
      </c>
      <c r="B7" s="230" t="n"/>
      <c r="C7" s="230" t="n"/>
      <c r="D7" s="230" t="n"/>
      <c r="E7" s="230" t="n"/>
      <c r="F7" s="230" t="n"/>
      <c r="G7" s="230" t="n"/>
    </row>
    <row r="8">
      <c r="A8" s="230" t="n"/>
      <c r="B8" s="285" t="n">
        <v>110</v>
      </c>
      <c r="C8" s="346" t="n">
        <v>633</v>
      </c>
      <c r="D8" s="206" t="inlineStr">
        <is>
          <t>633  ישראכרט  עסקי</t>
        </is>
      </c>
      <c r="E8" s="324" t="n">
        <v>22.29</v>
      </c>
      <c r="F8" s="230" t="n"/>
      <c r="G8" s="230" t="n"/>
    </row>
    <row r="9">
      <c r="A9" s="230" t="n"/>
      <c r="B9" s="285" t="n">
        <v>110</v>
      </c>
      <c r="C9" s="286" t="n">
        <v>1030</v>
      </c>
      <c r="D9" s="206" t="inlineStr">
        <is>
          <t>פקדון</t>
        </is>
      </c>
      <c r="E9" s="299" t="n">
        <v>41402.07</v>
      </c>
      <c r="F9" s="230" t="n"/>
      <c r="G9" s="230" t="n"/>
    </row>
    <row r="10">
      <c r="A10" s="230" t="n"/>
      <c r="B10" s="285" t="n">
        <v>110</v>
      </c>
      <c r="C10" s="286" t="n">
        <v>1100</v>
      </c>
      <c r="D10" s="206" t="inlineStr">
        <is>
          <t>בנק הפועלים בע"מ</t>
        </is>
      </c>
      <c r="E10" s="287" t="n">
        <v>862306.65</v>
      </c>
      <c r="F10" s="230" t="n"/>
      <c r="G10" s="230" t="n"/>
    </row>
    <row r="11">
      <c r="A11" s="229" t="inlineStr">
        <is>
          <t>סה"כ לקבוצה:</t>
        </is>
      </c>
      <c r="B11" s="341" t="n">
        <v>110</v>
      </c>
      <c r="C11" s="230" t="n"/>
      <c r="D11" s="230" t="n"/>
      <c r="E11" s="347" t="n">
        <v>903731.01</v>
      </c>
      <c r="F11" s="201" t="n">
        <v>0</v>
      </c>
      <c r="G11" s="349" t="n">
        <v>-903731.01</v>
      </c>
    </row>
    <row r="12">
      <c r="A12" s="229" t="inlineStr">
        <is>
          <t>סה"כ לקבוצה:</t>
        </is>
      </c>
      <c r="B12" s="229" t="inlineStr">
        <is>
          <t>1**</t>
        </is>
      </c>
      <c r="C12" s="230" t="n"/>
      <c r="D12" s="230" t="n"/>
      <c r="E12" s="347" t="n">
        <v>917625.01</v>
      </c>
      <c r="F12" s="201" t="n">
        <v>0</v>
      </c>
      <c r="G12" s="349" t="n">
        <v>-917625.01</v>
      </c>
    </row>
    <row r="13">
      <c r="A13" s="191" t="inlineStr">
        <is>
          <t>לקוחות</t>
        </is>
      </c>
      <c r="B13" s="230" t="n"/>
      <c r="C13" s="230" t="n"/>
      <c r="D13" s="230" t="n"/>
      <c r="E13" s="230" t="n"/>
      <c r="F13" s="230" t="n"/>
      <c r="G13" s="230" t="n"/>
    </row>
    <row r="14">
      <c r="A14" s="230" t="n"/>
      <c r="B14" s="285" t="n">
        <v>200</v>
      </c>
      <c r="C14" s="286" t="n">
        <v>2040</v>
      </c>
      <c r="D14" s="206" t="inlineStr">
        <is>
          <t>חברת החשמל לישראל בע"מ</t>
        </is>
      </c>
      <c r="E14" s="299" t="n">
        <v>43914</v>
      </c>
      <c r="F14" s="230" t="n"/>
      <c r="G14" s="230" t="n"/>
    </row>
    <row r="15">
      <c r="A15" s="230" t="n"/>
      <c r="B15" s="285" t="n">
        <v>200</v>
      </c>
      <c r="C15" s="286" t="n">
        <v>2080</v>
      </c>
      <c r="D15" s="206" t="inlineStr">
        <is>
          <t>החברה הלאומית לאספקת פחם בע"מ</t>
        </is>
      </c>
      <c r="E15" s="299" t="n">
        <v>22464</v>
      </c>
      <c r="F15" s="230" t="n"/>
      <c r="G15" s="230" t="n"/>
    </row>
    <row r="16">
      <c r="A16" s="229" t="inlineStr">
        <is>
          <t>סה"כ לקבוצה:</t>
        </is>
      </c>
      <c r="B16" s="341" t="n">
        <v>200</v>
      </c>
      <c r="C16" s="230" t="n"/>
      <c r="D16" s="230" t="n"/>
      <c r="E16" s="348" t="n">
        <v>66378</v>
      </c>
      <c r="F16" s="201" t="n">
        <v>0</v>
      </c>
      <c r="G16" s="350" t="n">
        <v>-66378</v>
      </c>
    </row>
    <row r="17">
      <c r="A17" s="191" t="inlineStr">
        <is>
          <t>פקיד שומה</t>
        </is>
      </c>
      <c r="B17" s="230" t="n"/>
      <c r="C17" s="230" t="n"/>
      <c r="D17" s="230" t="n"/>
      <c r="E17" s="230" t="n"/>
      <c r="F17" s="230" t="n"/>
      <c r="G17" s="230" t="n"/>
    </row>
    <row r="18">
      <c r="A18" s="230" t="n"/>
      <c r="B18" s="285" t="n">
        <v>270</v>
      </c>
      <c r="C18" s="286" t="n">
        <v>2700</v>
      </c>
      <c r="D18" s="206" t="inlineStr">
        <is>
          <t>נכוי במקור - לקוחות</t>
        </is>
      </c>
      <c r="E18" s="299" t="n">
        <v>84709.35000000001</v>
      </c>
      <c r="F18" s="230" t="n"/>
      <c r="G18" s="230" t="n"/>
    </row>
    <row r="19">
      <c r="A19" s="230" t="n"/>
      <c r="B19" s="285" t="n">
        <v>270</v>
      </c>
      <c r="C19" s="286" t="n">
        <v>2744</v>
      </c>
      <c r="D19" s="206" t="inlineStr">
        <is>
          <t>מס הכנסה שנים קודמות</t>
        </is>
      </c>
      <c r="E19" s="301" t="n">
        <v>3515.18</v>
      </c>
      <c r="F19" s="230" t="n"/>
      <c r="G19" s="230" t="n"/>
    </row>
    <row r="20">
      <c r="A20" s="230" t="n"/>
      <c r="B20" s="285" t="n">
        <v>270</v>
      </c>
      <c r="C20" s="286" t="n">
        <v>2745</v>
      </c>
      <c r="D20" s="206" t="inlineStr">
        <is>
          <t>מס הכנסה מקדמות</t>
        </is>
      </c>
      <c r="E20" s="299" t="n">
        <v>15904</v>
      </c>
      <c r="F20" s="230" t="n"/>
      <c r="G20" s="230" t="n"/>
    </row>
    <row r="21">
      <c r="A21" s="229" t="inlineStr">
        <is>
          <t>סה"כ לקבוצה:</t>
        </is>
      </c>
      <c r="B21" s="341" t="n">
        <v>270</v>
      </c>
      <c r="C21" s="230" t="n"/>
      <c r="D21" s="230" t="n"/>
      <c r="E21" s="347" t="n">
        <v>104128.53</v>
      </c>
      <c r="F21" s="201" t="n">
        <v>0</v>
      </c>
      <c r="G21" s="349" t="n">
        <v>-104128.53</v>
      </c>
    </row>
    <row r="22">
      <c r="A22" s="230" t="n"/>
      <c r="B22" s="285" t="n">
        <v>280</v>
      </c>
      <c r="C22" s="286" t="n">
        <v>2800</v>
      </c>
      <c r="D22" s="206" t="inlineStr">
        <is>
          <t>רכוש קבוע</t>
        </is>
      </c>
      <c r="E22" s="287" t="n">
        <v>120404.61</v>
      </c>
      <c r="F22" s="208" t="n"/>
      <c r="G22" s="230" t="n"/>
    </row>
    <row r="23">
      <c r="A23" s="230" t="n"/>
      <c r="B23" s="285" t="n">
        <v>280</v>
      </c>
      <c r="C23" s="286" t="n">
        <v>2850</v>
      </c>
      <c r="D23" s="206" t="inlineStr">
        <is>
          <t>פחת נצבר</t>
        </is>
      </c>
      <c r="E23" s="208" t="n"/>
      <c r="F23" s="299" t="n">
        <v>94836</v>
      </c>
      <c r="G23" s="230" t="n"/>
    </row>
    <row r="24">
      <c r="A24" s="229" t="inlineStr">
        <is>
          <t>סה"כ לקבוצה:</t>
        </is>
      </c>
      <c r="B24" s="341" t="n">
        <v>280</v>
      </c>
      <c r="C24" s="230" t="n"/>
      <c r="D24" s="230" t="n"/>
      <c r="E24" s="347" t="n">
        <v>120404.61</v>
      </c>
      <c r="F24" s="348" t="n">
        <v>94836</v>
      </c>
      <c r="G24" s="350" t="n">
        <v>-25568.61</v>
      </c>
    </row>
    <row r="25">
      <c r="A25" s="229" t="inlineStr">
        <is>
          <t>סה"כ לקבוצה:</t>
        </is>
      </c>
      <c r="B25" s="229" t="inlineStr">
        <is>
          <t>2**</t>
        </is>
      </c>
      <c r="C25" s="230" t="n"/>
      <c r="D25" s="230" t="n"/>
      <c r="E25" s="347" t="n">
        <v>290911.14</v>
      </c>
      <c r="F25" s="348" t="n">
        <v>94836</v>
      </c>
      <c r="G25" s="349" t="n">
        <v>-196075.14</v>
      </c>
    </row>
    <row r="26">
      <c r="A26" s="191" t="inlineStr">
        <is>
          <t>ספקים</t>
        </is>
      </c>
      <c r="B26" s="230" t="n"/>
      <c r="C26" s="230" t="n"/>
      <c r="D26" s="230" t="n"/>
      <c r="E26" s="230" t="n"/>
      <c r="F26" s="230" t="n"/>
      <c r="G26" s="230" t="n"/>
    </row>
    <row r="27">
      <c r="A27" s="230" t="n"/>
      <c r="B27" s="285" t="n">
        <v>300</v>
      </c>
      <c r="C27" s="286" t="n">
        <v>3049</v>
      </c>
      <c r="D27" s="206" t="inlineStr">
        <is>
          <t>דקוליין ציפויים דקורטיביים בע"מ</t>
        </is>
      </c>
      <c r="E27" s="301" t="n">
        <v>1044</v>
      </c>
      <c r="F27" s="208" t="n"/>
      <c r="G27" s="230" t="n"/>
    </row>
    <row r="28">
      <c r="A28" s="230" t="n"/>
      <c r="B28" s="285" t="n">
        <v>300</v>
      </c>
      <c r="C28" s="286" t="n">
        <v>3083</v>
      </c>
      <c r="D28" s="206" t="inlineStr">
        <is>
          <t>סופרדיל אדיב בע"מ</t>
        </is>
      </c>
      <c r="E28" s="208" t="n"/>
      <c r="F28" s="301" t="n">
        <v>1106.9</v>
      </c>
      <c r="G28" s="230" t="n"/>
    </row>
    <row r="29">
      <c r="A29" s="230" t="n"/>
      <c r="B29" s="285" t="n">
        <v>300</v>
      </c>
      <c r="C29" s="286" t="n">
        <v>3137</v>
      </c>
      <c r="D29" s="206" t="inlineStr">
        <is>
          <t>קובי ניסים בע"מ</t>
        </is>
      </c>
      <c r="E29" s="208" t="n"/>
      <c r="F29" s="301" t="n">
        <v>1053</v>
      </c>
      <c r="G29" s="230" t="n"/>
    </row>
    <row r="30">
      <c r="A30" s="230" t="n"/>
      <c r="B30" s="285" t="n">
        <v>300</v>
      </c>
      <c r="C30" s="286" t="n">
        <v>3241</v>
      </c>
      <c r="D30" s="206" t="inlineStr">
        <is>
          <t>אורלי - משאבי אנרגיה בע"מ</t>
        </is>
      </c>
      <c r="E30" s="208" t="n"/>
      <c r="F30" s="301" t="n">
        <v>1858</v>
      </c>
      <c r="G30" s="230" t="n"/>
    </row>
    <row r="31">
      <c r="A31" s="229" t="inlineStr">
        <is>
          <t>סה"כ לקבוצה:</t>
        </is>
      </c>
      <c r="B31" s="341" t="n">
        <v>300</v>
      </c>
      <c r="C31" s="230" t="n"/>
      <c r="D31" s="230" t="n"/>
      <c r="E31" s="343" t="n">
        <v>1044</v>
      </c>
      <c r="F31" s="343" t="n">
        <v>4017.9</v>
      </c>
      <c r="G31" s="343" t="n">
        <v>2973.9</v>
      </c>
    </row>
    <row r="32">
      <c r="A32" s="230" t="n"/>
      <c r="B32" s="285" t="n">
        <v>351</v>
      </c>
      <c r="C32" s="286" t="n">
        <v>3640</v>
      </c>
      <c r="D32" s="206" t="inlineStr">
        <is>
          <t>הפניקס קרן פנסיה</t>
        </is>
      </c>
      <c r="E32" s="208" t="n"/>
      <c r="F32" s="299" t="n">
        <v>14482</v>
      </c>
      <c r="G32" s="230" t="n"/>
    </row>
    <row r="33">
      <c r="A33" s="191" t="inlineStr">
        <is>
          <t>חוז</t>
        </is>
      </c>
      <c r="B33" s="230" t="n"/>
      <c r="C33" s="230" t="n"/>
      <c r="D33" s="230" t="n"/>
      <c r="E33" s="230" t="n"/>
      <c r="F33" s="230" t="n"/>
      <c r="G33" s="230" t="n"/>
    </row>
    <row r="34">
      <c r="A34" s="230" t="n"/>
      <c r="B34" s="285" t="n">
        <v>360</v>
      </c>
      <c r="C34" s="286" t="n">
        <v>3600</v>
      </c>
      <c r="D34" s="206" t="inlineStr">
        <is>
          <t>מס הכנסה ניכויים</t>
        </is>
      </c>
      <c r="E34" s="208" t="n"/>
      <c r="F34" s="297" t="n">
        <v>621</v>
      </c>
      <c r="G34" s="230" t="n"/>
    </row>
    <row r="35">
      <c r="A35" s="230" t="n"/>
      <c r="B35" s="285" t="n">
        <v>360</v>
      </c>
      <c r="C35" s="286" t="n">
        <v>3610</v>
      </c>
      <c r="D35" s="206" t="inlineStr">
        <is>
          <t>ביטוח לאומי ניכויים</t>
        </is>
      </c>
      <c r="E35" s="208" t="n"/>
      <c r="F35" s="324" t="n">
        <v>52</v>
      </c>
      <c r="G35" s="230" t="n"/>
    </row>
    <row r="36">
      <c r="A36" s="229" t="inlineStr">
        <is>
          <t>סה"כ לקבוצה:</t>
        </is>
      </c>
      <c r="B36" s="341" t="n">
        <v>360</v>
      </c>
      <c r="C36" s="230" t="n"/>
      <c r="D36" s="230" t="n"/>
      <c r="E36" s="201" t="n">
        <v>0</v>
      </c>
      <c r="F36" s="351" t="n">
        <v>673</v>
      </c>
      <c r="G36" s="351" t="n">
        <v>673</v>
      </c>
    </row>
    <row r="37">
      <c r="A37" s="191" t="inlineStr">
        <is>
          <t>עובדים</t>
        </is>
      </c>
      <c r="B37" s="230" t="n"/>
      <c r="C37" s="230" t="n"/>
      <c r="D37" s="230" t="n"/>
      <c r="E37" s="230" t="n"/>
      <c r="F37" s="230" t="n"/>
      <c r="G37" s="230" t="n"/>
    </row>
    <row r="38">
      <c r="A38" s="230" t="n"/>
      <c r="B38" s="285" t="n">
        <v>370</v>
      </c>
      <c r="C38" s="286" t="n">
        <v>3707</v>
      </c>
      <c r="D38" s="206" t="inlineStr">
        <is>
          <t>ראובן לוסי</t>
        </is>
      </c>
      <c r="E38" s="208" t="n"/>
      <c r="F38" s="297" t="n">
        <v>300</v>
      </c>
      <c r="G38" s="230" t="n"/>
    </row>
    <row r="39">
      <c r="A39" s="230" t="n"/>
      <c r="B39" s="285" t="n">
        <v>370</v>
      </c>
      <c r="C39" s="286" t="n">
        <v>3717</v>
      </c>
      <c r="D39" s="206" t="inlineStr">
        <is>
          <t>מוריוסף אשר</t>
        </is>
      </c>
      <c r="E39" s="208" t="n"/>
      <c r="F39" s="301" t="n">
        <v>7100</v>
      </c>
      <c r="G39" s="230" t="n"/>
    </row>
    <row r="40">
      <c r="A40" s="230" t="n"/>
      <c r="B40" s="285" t="n">
        <v>370</v>
      </c>
      <c r="C40" s="286" t="n">
        <v>3739</v>
      </c>
      <c r="D40" s="206" t="inlineStr">
        <is>
          <t>מור יוסף לינוי</t>
        </is>
      </c>
      <c r="E40" s="208" t="n"/>
      <c r="F40" s="299" t="n">
        <v>11500</v>
      </c>
      <c r="G40" s="230" t="n"/>
    </row>
    <row r="41">
      <c r="A41" s="230" t="n"/>
      <c r="B41" s="285" t="n">
        <v>370</v>
      </c>
      <c r="C41" s="286" t="n">
        <v>3747</v>
      </c>
      <c r="D41" s="206" t="inlineStr">
        <is>
          <t>דניאל רטנר</t>
        </is>
      </c>
      <c r="E41" s="208" t="n"/>
      <c r="F41" s="301" t="n">
        <v>5200</v>
      </c>
      <c r="G41" s="230" t="n"/>
    </row>
    <row r="42">
      <c r="A42" s="229" t="inlineStr">
        <is>
          <t>סה"כ לקבוצה:</t>
        </is>
      </c>
      <c r="B42" s="341" t="n">
        <v>370</v>
      </c>
      <c r="C42" s="230" t="n"/>
      <c r="D42" s="230" t="n"/>
      <c r="E42" s="201" t="n">
        <v>0</v>
      </c>
      <c r="F42" s="348" t="n">
        <v>24100</v>
      </c>
      <c r="G42" s="348" t="n">
        <v>24100</v>
      </c>
    </row>
    <row r="43">
      <c r="A43" s="229" t="inlineStr">
        <is>
          <t>סה"כ לקבוצה:</t>
        </is>
      </c>
      <c r="B43" s="229" t="inlineStr">
        <is>
          <t>3**</t>
        </is>
      </c>
      <c r="C43" s="230" t="n"/>
      <c r="D43" s="230" t="n"/>
      <c r="E43" s="343" t="n">
        <v>1044</v>
      </c>
      <c r="F43" s="348" t="n">
        <v>43272.9</v>
      </c>
      <c r="G43" s="348" t="n">
        <v>42228.9</v>
      </c>
    </row>
    <row r="44">
      <c r="A44" s="230" t="n"/>
      <c r="B44" s="341" t="n">
        <v>400</v>
      </c>
      <c r="C44" s="342" t="n">
        <v>4000</v>
      </c>
      <c r="D44" s="229" t="inlineStr">
        <is>
          <t>הון מניות</t>
        </is>
      </c>
      <c r="E44" s="230" t="n"/>
      <c r="F44" s="351" t="n">
        <v>100</v>
      </c>
      <c r="G44" s="230" t="n"/>
    </row>
    <row r="45">
      <c r="A45" s="230" t="n"/>
      <c r="B45" s="285" t="n">
        <v>450</v>
      </c>
      <c r="C45" s="286" t="n">
        <v>4500</v>
      </c>
      <c r="D45" s="206" t="inlineStr">
        <is>
          <t>חשבון רווח/הפסד</t>
        </is>
      </c>
      <c r="E45" s="208" t="n"/>
      <c r="F45" s="287" t="n">
        <v>846468.46</v>
      </c>
      <c r="G45" s="230" t="n"/>
    </row>
    <row r="46">
      <c r="A46" s="229" t="inlineStr">
        <is>
          <t>סה"כ לקבוצה:</t>
        </is>
      </c>
      <c r="B46" s="229" t="inlineStr">
        <is>
          <t>4**</t>
        </is>
      </c>
      <c r="C46" s="230" t="n"/>
      <c r="D46" s="230" t="n"/>
      <c r="E46" s="201" t="n">
        <v>0</v>
      </c>
      <c r="F46" s="347" t="n">
        <v>846568.46</v>
      </c>
      <c r="G46" s="347" t="n">
        <v>846568.46</v>
      </c>
    </row>
    <row r="47">
      <c r="A47" s="191" t="inlineStr">
        <is>
          <t>אגף המכס והבלו</t>
        </is>
      </c>
      <c r="B47" s="230" t="n"/>
      <c r="C47" s="230" t="n"/>
      <c r="D47" s="230" t="n"/>
      <c r="E47" s="230" t="n"/>
      <c r="F47" s="230" t="n"/>
      <c r="G47" s="230" t="n"/>
    </row>
    <row r="48">
      <c r="A48" s="230" t="n"/>
      <c r="B48" s="285" t="n">
        <v>500</v>
      </c>
      <c r="C48" s="286" t="n">
        <v>5000</v>
      </c>
      <c r="D48" s="206" t="inlineStr">
        <is>
          <t>מעמ תשומות</t>
        </is>
      </c>
      <c r="E48" s="297" t="n">
        <v>652.6799999999999</v>
      </c>
      <c r="F48" s="208" t="n"/>
      <c r="G48" s="230" t="n"/>
    </row>
    <row r="49">
      <c r="A49" s="230" t="n"/>
      <c r="B49" s="285" t="n">
        <v>500</v>
      </c>
      <c r="C49" s="286" t="n">
        <v>5040</v>
      </c>
      <c r="D49" s="206" t="inlineStr">
        <is>
          <t>חוז מעמ</t>
        </is>
      </c>
      <c r="E49" s="208" t="n"/>
      <c r="F49" s="299" t="n">
        <v>29609</v>
      </c>
      <c r="G49" s="230" t="n"/>
    </row>
    <row r="50">
      <c r="A50" s="229" t="inlineStr">
        <is>
          <t>סה"כ לקבוצה:</t>
        </is>
      </c>
      <c r="B50" s="341" t="n">
        <v>500</v>
      </c>
      <c r="C50" s="230" t="n"/>
      <c r="D50" s="230" t="n"/>
      <c r="E50" s="351" t="n">
        <v>652.6799999999999</v>
      </c>
      <c r="F50" s="348" t="n">
        <v>29609</v>
      </c>
      <c r="G50" s="348" t="n">
        <v>28956.32</v>
      </c>
    </row>
    <row r="51">
      <c r="A51" s="191" t="inlineStr">
        <is>
          <t>בעלי מניות</t>
        </is>
      </c>
      <c r="B51" s="230" t="n"/>
      <c r="C51" s="230" t="n"/>
      <c r="D51" s="230" t="n"/>
      <c r="E51" s="230" t="n"/>
      <c r="F51" s="230" t="n"/>
      <c r="G51" s="230" t="n"/>
    </row>
    <row r="52">
      <c r="A52" s="230" t="n"/>
      <c r="B52" s="285" t="n">
        <v>510</v>
      </c>
      <c r="C52" s="286" t="n">
        <v>5100</v>
      </c>
      <c r="D52" s="206" t="inlineStr">
        <is>
          <t>ראובן מירון</t>
        </is>
      </c>
      <c r="E52" s="208" t="n"/>
      <c r="F52" s="299" t="n">
        <v>22068.77</v>
      </c>
      <c r="G52" s="230" t="n"/>
    </row>
    <row r="53">
      <c r="A53" s="229" t="inlineStr">
        <is>
          <t>סה"כ לקבוצה:</t>
        </is>
      </c>
      <c r="B53" s="229" t="inlineStr">
        <is>
          <t>5**</t>
        </is>
      </c>
      <c r="C53" s="230" t="n"/>
      <c r="D53" s="230" t="n"/>
      <c r="E53" s="351" t="n">
        <v>652.6799999999999</v>
      </c>
      <c r="F53" s="348" t="n">
        <v>51677.77</v>
      </c>
      <c r="G53" s="348" t="n">
        <v>51025.09</v>
      </c>
    </row>
    <row r="54">
      <c r="A54" s="191" t="inlineStr">
        <is>
          <t>הכנסות</t>
        </is>
      </c>
      <c r="B54" s="230" t="n"/>
      <c r="C54" s="230" t="n"/>
      <c r="D54" s="230" t="n"/>
      <c r="E54" s="230" t="n"/>
      <c r="F54" s="230" t="n"/>
      <c r="G54" s="230" t="n"/>
    </row>
    <row r="55">
      <c r="A55" s="230" t="n"/>
      <c r="B55" s="285" t="n">
        <v>600</v>
      </c>
      <c r="C55" s="286" t="n">
        <v>6000</v>
      </c>
      <c r="D55" s="206" t="inlineStr">
        <is>
          <t>הכנסות</t>
        </is>
      </c>
      <c r="E55" s="208" t="n"/>
      <c r="F55" s="352" t="n">
        <v>1021917.09</v>
      </c>
      <c r="G55" s="230" t="n"/>
    </row>
    <row r="56">
      <c r="A56" s="230" t="n"/>
      <c r="B56" s="285" t="n">
        <v>600</v>
      </c>
      <c r="C56" s="286" t="n">
        <v>6008</v>
      </c>
      <c r="D56" s="206" t="inlineStr">
        <is>
          <t>הכנסות מניקוי אוניות פחם - חברת החשמל</t>
        </is>
      </c>
      <c r="E56" s="208" t="n"/>
      <c r="F56" s="287" t="n">
        <v>442154.71</v>
      </c>
      <c r="G56" s="230" t="n"/>
    </row>
    <row r="57">
      <c r="A57" s="229" t="inlineStr">
        <is>
          <t>סה"כ לקבוצה:</t>
        </is>
      </c>
      <c r="B57" s="341" t="n">
        <v>600</v>
      </c>
      <c r="C57" s="230" t="n"/>
      <c r="D57" s="230" t="n"/>
      <c r="E57" s="201" t="n">
        <v>0</v>
      </c>
      <c r="F57" s="353" t="n">
        <v>1464071.8</v>
      </c>
      <c r="G57" s="353" t="n">
        <v>1464071.8</v>
      </c>
    </row>
    <row r="58">
      <c r="A58" s="191" t="inlineStr">
        <is>
          <t>קניות</t>
        </is>
      </c>
      <c r="B58" s="230" t="n"/>
      <c r="C58" s="230" t="n"/>
      <c r="D58" s="230" t="n"/>
      <c r="E58" s="230" t="n"/>
      <c r="F58" s="230" t="n"/>
      <c r="G58" s="230" t="n"/>
    </row>
    <row r="59">
      <c r="A59" s="230" t="n"/>
      <c r="B59" s="285" t="n">
        <v>650</v>
      </c>
      <c r="C59" s="286" t="n">
        <v>6400</v>
      </c>
      <c r="D59" s="206" t="inlineStr">
        <is>
          <t>מלאי פתיחה רווח והפסד</t>
        </is>
      </c>
      <c r="E59" s="299" t="n">
        <v>39233</v>
      </c>
      <c r="F59" s="230" t="n"/>
      <c r="G59" s="230" t="n"/>
    </row>
    <row r="60">
      <c r="A60" s="230" t="n"/>
      <c r="B60" s="285" t="n">
        <v>650</v>
      </c>
      <c r="C60" s="286" t="n">
        <v>6500</v>
      </c>
      <c r="D60" s="206" t="inlineStr">
        <is>
          <t>קניות</t>
        </is>
      </c>
      <c r="E60" s="299" t="n">
        <v>95529.11</v>
      </c>
      <c r="F60" s="230" t="n"/>
      <c r="G60" s="230" t="n"/>
    </row>
    <row r="61">
      <c r="A61" s="229" t="inlineStr">
        <is>
          <t>סה"כ לקבוצה:</t>
        </is>
      </c>
      <c r="B61" s="341" t="n">
        <v>650</v>
      </c>
      <c r="C61" s="230" t="n"/>
      <c r="D61" s="230" t="n"/>
      <c r="E61" s="347" t="n">
        <v>134762.11</v>
      </c>
      <c r="F61" s="201" t="n">
        <v>0</v>
      </c>
      <c r="G61" s="349" t="n">
        <v>-134762.11</v>
      </c>
    </row>
    <row r="62">
      <c r="A62" s="230" t="n"/>
      <c r="B62" s="285" t="n">
        <v>660</v>
      </c>
      <c r="C62" s="286" t="n">
        <v>6600</v>
      </c>
      <c r="D62" s="206" t="inlineStr">
        <is>
          <t>קבלני משנה</t>
        </is>
      </c>
      <c r="E62" s="299" t="n">
        <v>36170.94</v>
      </c>
      <c r="F62" s="230" t="n"/>
      <c r="G62" s="230" t="n"/>
    </row>
    <row r="63">
      <c r="A63" s="230" t="n"/>
      <c r="B63" s="285" t="n">
        <v>660</v>
      </c>
      <c r="C63" s="286" t="n">
        <v>6605</v>
      </c>
      <c r="D63" s="206" t="inlineStr">
        <is>
          <t>פינוי פסולת</t>
        </is>
      </c>
      <c r="E63" s="301" t="n">
        <v>4400</v>
      </c>
      <c r="F63" s="230" t="n"/>
      <c r="G63" s="230" t="n"/>
    </row>
    <row r="64">
      <c r="A64" s="229" t="inlineStr">
        <is>
          <t>סה"כ לקבוצה:</t>
        </is>
      </c>
      <c r="B64" s="341" t="n">
        <v>660</v>
      </c>
      <c r="C64" s="230" t="n"/>
      <c r="D64" s="230" t="n"/>
      <c r="E64" s="348" t="n">
        <v>40570.94</v>
      </c>
      <c r="F64" s="201" t="n">
        <v>0</v>
      </c>
      <c r="G64" s="350" t="n">
        <v>-40570.94</v>
      </c>
    </row>
    <row r="65">
      <c r="A65" s="229" t="inlineStr">
        <is>
          <t>סה"כ לקבוצה:</t>
        </is>
      </c>
      <c r="B65" s="229" t="inlineStr">
        <is>
          <t>6**</t>
        </is>
      </c>
      <c r="C65" s="230" t="n"/>
      <c r="D65" s="230" t="n"/>
      <c r="E65" s="347" t="n">
        <v>175333.05</v>
      </c>
      <c r="F65" s="353" t="n">
        <v>1464071.8</v>
      </c>
      <c r="G65" s="353" t="n">
        <v>1288738.75</v>
      </c>
    </row>
    <row r="66">
      <c r="A66" s="191" t="inlineStr">
        <is>
          <t>שכר עבודה</t>
        </is>
      </c>
      <c r="B66" s="230" t="n"/>
      <c r="C66" s="230" t="n"/>
      <c r="D66" s="230" t="n"/>
      <c r="E66" s="230" t="n"/>
      <c r="F66" s="230" t="n"/>
      <c r="G66" s="230" t="n"/>
    </row>
    <row r="67">
      <c r="A67" s="230" t="n"/>
      <c r="B67" s="285" t="n">
        <v>700</v>
      </c>
      <c r="C67" s="286" t="n">
        <v>7000</v>
      </c>
      <c r="D67" s="206" t="inlineStr">
        <is>
          <t>שכר עבודה</t>
        </is>
      </c>
      <c r="E67" s="287" t="n">
        <v>681221</v>
      </c>
      <c r="F67" s="208" t="n"/>
      <c r="G67" s="230" t="n"/>
    </row>
    <row r="68">
      <c r="A68" s="230" t="n"/>
      <c r="B68" s="285" t="n">
        <v>700</v>
      </c>
      <c r="C68" s="286" t="n">
        <v>7001</v>
      </c>
      <c r="D68" s="206" t="inlineStr">
        <is>
          <t>סוציאליות</t>
        </is>
      </c>
      <c r="E68" s="299" t="n">
        <v>36127</v>
      </c>
      <c r="F68" s="208" t="n"/>
      <c r="G68" s="230" t="n"/>
    </row>
    <row r="69">
      <c r="A69" s="230" t="n"/>
      <c r="B69" s="285" t="n">
        <v>700</v>
      </c>
      <c r="C69" s="286" t="n">
        <v>7002</v>
      </c>
      <c r="D69" s="206" t="inlineStr">
        <is>
          <t>גמל מעביד</t>
        </is>
      </c>
      <c r="E69" s="301" t="n">
        <v>5292</v>
      </c>
      <c r="F69" s="208" t="n"/>
      <c r="G69" s="230" t="n"/>
    </row>
    <row r="70">
      <c r="A70" s="230" t="n"/>
      <c r="B70" s="285" t="n">
        <v>700</v>
      </c>
      <c r="C70" s="286" t="n">
        <v>7006</v>
      </c>
      <c r="D70" s="206" t="inlineStr">
        <is>
          <t>הוצ גמל פיצויים</t>
        </is>
      </c>
      <c r="E70" s="301" t="n">
        <v>6792</v>
      </c>
      <c r="F70" s="208" t="n"/>
      <c r="G70" s="230" t="n"/>
    </row>
    <row r="71">
      <c r="A71" s="230" t="n"/>
      <c r="B71" s="285" t="n">
        <v>700</v>
      </c>
      <c r="C71" s="286" t="n">
        <v>7010</v>
      </c>
      <c r="D71" s="206" t="inlineStr">
        <is>
          <t>הכנסות זקופות</t>
        </is>
      </c>
      <c r="E71" s="208" t="n"/>
      <c r="F71" s="301" t="n">
        <v>1262</v>
      </c>
      <c r="G71" s="230" t="n"/>
    </row>
    <row r="72">
      <c r="A72" s="230" t="n"/>
      <c r="B72" s="285" t="n">
        <v>700</v>
      </c>
      <c r="C72" s="286" t="n">
        <v>7020</v>
      </c>
      <c r="D72" s="206" t="inlineStr">
        <is>
          <t>הוצאות פיצויים (בתלוש)</t>
        </is>
      </c>
      <c r="E72" s="301" t="n">
        <v>8000</v>
      </c>
      <c r="F72" s="208" t="n"/>
      <c r="G72" s="230" t="n"/>
    </row>
    <row r="73">
      <c r="A73" s="229" t="inlineStr">
        <is>
          <t>סה"כ לקבוצה:</t>
        </is>
      </c>
      <c r="B73" s="341" t="n">
        <v>700</v>
      </c>
      <c r="C73" s="230" t="n"/>
      <c r="D73" s="230" t="n"/>
      <c r="E73" s="347" t="n">
        <v>737432</v>
      </c>
      <c r="F73" s="343" t="n">
        <v>1262</v>
      </c>
      <c r="G73" s="349" t="n">
        <v>-736170</v>
      </c>
    </row>
    <row r="74">
      <c r="A74" s="191" t="inlineStr">
        <is>
          <t>הוצאות הנהלה וכלליות</t>
        </is>
      </c>
      <c r="B74" s="230" t="n"/>
      <c r="C74" s="230" t="n"/>
      <c r="D74" s="230" t="n"/>
      <c r="E74" s="230" t="n"/>
      <c r="F74" s="230" t="n"/>
      <c r="G74" s="230" t="n"/>
    </row>
    <row r="75">
      <c r="A75" s="230" t="n"/>
      <c r="B75" s="285" t="n">
        <v>720</v>
      </c>
      <c r="C75" s="286" t="n">
        <v>7200</v>
      </c>
      <c r="D75" s="206" t="inlineStr">
        <is>
          <t>משרדיות</t>
        </is>
      </c>
      <c r="E75" s="301" t="n">
        <v>1664.1</v>
      </c>
      <c r="F75" s="230" t="n"/>
      <c r="G75" s="230" t="n"/>
    </row>
    <row r="76">
      <c r="A76" s="230" t="n"/>
      <c r="B76" s="285" t="n">
        <v>720</v>
      </c>
      <c r="C76" s="286" t="n">
        <v>7201</v>
      </c>
      <c r="D76" s="206" t="inlineStr">
        <is>
          <t>ביטוחים</t>
        </is>
      </c>
      <c r="E76" s="299" t="n">
        <v>32716</v>
      </c>
      <c r="F76" s="230" t="n"/>
      <c r="G76" s="230" t="n"/>
    </row>
    <row r="77">
      <c r="A77" s="230" t="n"/>
      <c r="B77" s="285" t="n">
        <v>720</v>
      </c>
      <c r="C77" s="286" t="n">
        <v>7204</v>
      </c>
      <c r="D77" s="206" t="inlineStr">
        <is>
          <t>אגרות</t>
        </is>
      </c>
      <c r="E77" s="301" t="n">
        <v>1162</v>
      </c>
      <c r="F77" s="230" t="n"/>
      <c r="G77" s="230" t="n"/>
    </row>
    <row r="78">
      <c r="A78" s="230" t="n"/>
      <c r="B78" s="341" t="n">
        <v>720</v>
      </c>
      <c r="C78" s="342" t="n">
        <v>7209</v>
      </c>
      <c r="D78" s="229" t="inlineStr">
        <is>
          <t>ביגוד ונעלי עבודה</t>
        </is>
      </c>
      <c r="E78" s="351" t="n">
        <v>577.5599999999999</v>
      </c>
      <c r="F78" s="230" t="n"/>
      <c r="G78" s="230" t="n"/>
    </row>
    <row r="79">
      <c r="A79" s="230" t="n"/>
      <c r="B79" s="285" t="n">
        <v>720</v>
      </c>
      <c r="C79" s="286" t="n">
        <v>7210</v>
      </c>
      <c r="D79" s="206" t="inlineStr">
        <is>
          <t>טלפון ותקשורת</t>
        </is>
      </c>
      <c r="E79" s="301" t="n">
        <v>2160.59</v>
      </c>
      <c r="F79" s="230" t="n"/>
      <c r="G79" s="230" t="n"/>
    </row>
    <row r="80">
      <c r="A80" s="230" t="n"/>
      <c r="B80" s="285" t="n">
        <v>720</v>
      </c>
      <c r="C80" s="286" t="n">
        <v>7221</v>
      </c>
      <c r="D80" s="206" t="inlineStr">
        <is>
          <t>בדיקות תקופתיות</t>
        </is>
      </c>
      <c r="E80" s="301" t="n">
        <v>2520</v>
      </c>
      <c r="F80" s="230" t="n"/>
      <c r="G80" s="230" t="n"/>
    </row>
    <row r="81">
      <c r="A81" s="230" t="n"/>
      <c r="B81" s="285" t="n">
        <v>720</v>
      </c>
      <c r="C81" s="286" t="n">
        <v>7250</v>
      </c>
      <c r="D81" s="206" t="inlineStr">
        <is>
          <t>הנהח וביקורת</t>
        </is>
      </c>
      <c r="E81" s="299" t="n">
        <v>14000</v>
      </c>
      <c r="F81" s="230" t="n"/>
      <c r="G81" s="230" t="n"/>
    </row>
    <row r="82">
      <c r="A82" s="230" t="n"/>
      <c r="B82" s="285" t="n">
        <v>720</v>
      </c>
      <c r="C82" s="286" t="n">
        <v>7251</v>
      </c>
      <c r="D82" s="206" t="inlineStr">
        <is>
          <t>השתלמויות וקורסים</t>
        </is>
      </c>
      <c r="E82" s="301" t="n">
        <v>3900</v>
      </c>
      <c r="F82" s="230" t="n"/>
      <c r="G82" s="230" t="n"/>
    </row>
    <row r="83">
      <c r="A83" s="230" t="n"/>
      <c r="B83" s="285" t="n">
        <v>720</v>
      </c>
      <c r="C83" s="286" t="n">
        <v>7455</v>
      </c>
      <c r="D83" s="206" t="inlineStr">
        <is>
          <t>הוצאות דיבידנד</t>
        </is>
      </c>
      <c r="E83" s="287" t="n">
        <v>285714</v>
      </c>
      <c r="F83" s="230" t="n"/>
      <c r="G83" s="230" t="n"/>
    </row>
    <row r="84">
      <c r="A84" s="229" t="inlineStr">
        <is>
          <t>סה"כ לקבוצה:</t>
        </is>
      </c>
      <c r="B84" s="341" t="n">
        <v>720</v>
      </c>
      <c r="C84" s="230" t="n"/>
      <c r="D84" s="230" t="n"/>
      <c r="E84" s="347" t="n">
        <v>344414.25</v>
      </c>
      <c r="F84" s="201" t="n">
        <v>0</v>
      </c>
      <c r="G84" s="349" t="n">
        <v>-344414.25</v>
      </c>
    </row>
    <row r="85">
      <c r="A85" s="230" t="n"/>
      <c r="B85" s="285" t="n">
        <v>730</v>
      </c>
      <c r="C85" s="286" t="n">
        <v>7301</v>
      </c>
      <c r="D85" s="206" t="inlineStr">
        <is>
          <t>כלי עבודה</t>
        </is>
      </c>
      <c r="E85" s="301" t="n">
        <v>4970.09</v>
      </c>
      <c r="F85" s="230" t="n"/>
      <c r="G85" s="230" t="n"/>
    </row>
    <row r="86">
      <c r="A86" s="191" t="inlineStr">
        <is>
          <t>אחזקת רכב</t>
        </is>
      </c>
      <c r="B86" s="230" t="n"/>
      <c r="C86" s="230" t="n"/>
      <c r="D86" s="230" t="n"/>
      <c r="E86" s="230" t="n"/>
      <c r="F86" s="230" t="n"/>
      <c r="G86" s="230" t="n"/>
    </row>
    <row r="87">
      <c r="A87" s="230" t="n"/>
      <c r="B87" s="285" t="n">
        <v>760</v>
      </c>
      <c r="C87" s="286" t="n">
        <v>7600</v>
      </c>
      <c r="D87" s="206" t="inlineStr">
        <is>
          <t>24-388-73  יונדאי דלק    (10.2016)</t>
        </is>
      </c>
      <c r="E87" s="299" t="n">
        <v>23126.87</v>
      </c>
      <c r="F87" s="230" t="n"/>
      <c r="G87" s="230" t="n"/>
    </row>
    <row r="88">
      <c r="A88" s="230" t="n"/>
      <c r="B88" s="285" t="n">
        <v>760</v>
      </c>
      <c r="C88" s="286" t="n">
        <v>7601</v>
      </c>
      <c r="D88" s="206" t="inlineStr">
        <is>
          <t>24-388-73  יונדאי הוצ שוטפות    (10.2016)</t>
        </is>
      </c>
      <c r="E88" s="301" t="n">
        <v>2577.63</v>
      </c>
      <c r="F88" s="230" t="n"/>
      <c r="G88" s="230" t="n"/>
    </row>
    <row r="89">
      <c r="A89" s="230" t="n"/>
      <c r="B89" s="285" t="n">
        <v>760</v>
      </c>
      <c r="C89" s="286" t="n">
        <v>7602</v>
      </c>
      <c r="D89" s="206" t="inlineStr">
        <is>
          <t>24-388-73  יונדאי ביטוחים    (10.2016)</t>
        </is>
      </c>
      <c r="E89" s="301" t="n">
        <v>4142</v>
      </c>
      <c r="F89" s="230" t="n"/>
      <c r="G89" s="230" t="n"/>
    </row>
    <row r="90">
      <c r="A90" s="229" t="inlineStr">
        <is>
          <t>סה"כ לקבוצה:</t>
        </is>
      </c>
      <c r="B90" s="341" t="n">
        <v>760</v>
      </c>
      <c r="C90" s="230" t="n"/>
      <c r="D90" s="230" t="n"/>
      <c r="E90" s="348" t="n">
        <v>29846.5</v>
      </c>
      <c r="F90" s="201" t="n">
        <v>0</v>
      </c>
      <c r="G90" s="350" t="n">
        <v>-29846.5</v>
      </c>
    </row>
    <row r="91">
      <c r="A91" s="191" t="inlineStr">
        <is>
          <t>מימון</t>
        </is>
      </c>
      <c r="B91" s="230" t="n"/>
      <c r="C91" s="230" t="n"/>
      <c r="D91" s="230" t="n"/>
      <c r="E91" s="230" t="n"/>
      <c r="F91" s="230" t="n"/>
      <c r="G91" s="230" t="n"/>
    </row>
    <row r="92">
      <c r="A92" s="230" t="n"/>
      <c r="B92" s="285" t="n">
        <v>790</v>
      </c>
      <c r="C92" s="286" t="n">
        <v>7900</v>
      </c>
      <c r="D92" s="206" t="inlineStr">
        <is>
          <t>ריבית ועמלות בנק</t>
        </is>
      </c>
      <c r="E92" s="301" t="n">
        <v>2233.41</v>
      </c>
      <c r="F92" s="208" t="n"/>
      <c r="G92" s="230" t="n"/>
    </row>
    <row r="93">
      <c r="A93" s="230" t="n"/>
      <c r="B93" s="285" t="n">
        <v>790</v>
      </c>
      <c r="C93" s="286" t="n">
        <v>7940</v>
      </c>
      <c r="D93" s="206" t="inlineStr">
        <is>
          <t>ריבית מוסדות</t>
        </is>
      </c>
      <c r="E93" s="208" t="n"/>
      <c r="F93" s="301" t="n">
        <v>2706</v>
      </c>
      <c r="G93" s="230" t="n"/>
    </row>
    <row r="94">
      <c r="A94" s="230" t="n"/>
      <c r="B94" s="285" t="n">
        <v>790</v>
      </c>
      <c r="C94" s="286" t="n">
        <v>7950</v>
      </c>
      <c r="D94" s="206" t="inlineStr">
        <is>
          <t>ריבית פקדון</t>
        </is>
      </c>
      <c r="E94" s="208" t="n"/>
      <c r="F94" s="324" t="n">
        <v>88</v>
      </c>
      <c r="G94" s="230" t="n"/>
    </row>
    <row r="95">
      <c r="A95" s="230" t="n"/>
      <c r="B95" s="285" t="n">
        <v>790</v>
      </c>
      <c r="C95" s="286" t="n">
        <v>7999</v>
      </c>
      <c r="D95" s="206" t="inlineStr">
        <is>
          <t>ביטול ייתרות</t>
        </is>
      </c>
      <c r="E95" s="324" t="n">
        <v>20.8</v>
      </c>
      <c r="F95" s="208" t="n"/>
      <c r="G95" s="230" t="n"/>
    </row>
    <row r="96">
      <c r="A96" s="229" t="inlineStr">
        <is>
          <t>סה"כ לקבוצה:</t>
        </is>
      </c>
      <c r="B96" s="341" t="n">
        <v>790</v>
      </c>
      <c r="C96" s="230" t="n"/>
      <c r="D96" s="230" t="n"/>
      <c r="E96" s="343" t="n">
        <v>2254.21</v>
      </c>
      <c r="F96" s="343" t="n">
        <v>2794</v>
      </c>
      <c r="G96" s="351" t="n">
        <v>539.79</v>
      </c>
    </row>
    <row r="97">
      <c r="A97" s="229" t="inlineStr">
        <is>
          <t>סה"כ לקבוצה:</t>
        </is>
      </c>
      <c r="B97" s="229" t="inlineStr">
        <is>
          <t>7**</t>
        </is>
      </c>
      <c r="C97" s="230" t="n"/>
      <c r="D97" s="230" t="n"/>
      <c r="E97" s="353" t="n">
        <v>1118917.05</v>
      </c>
      <c r="F97" s="343" t="n">
        <v>4056</v>
      </c>
      <c r="G97" s="356" t="n">
        <v>-1114861.05</v>
      </c>
    </row>
    <row r="98">
      <c r="A98" s="229" t="inlineStr">
        <is>
          <t>סה"כ לקבוצה:</t>
        </is>
      </c>
      <c r="B98" s="229" t="inlineStr">
        <is>
          <t>***</t>
        </is>
      </c>
      <c r="C98" s="230" t="n"/>
      <c r="D98" s="230" t="n"/>
      <c r="E98" s="353" t="n">
        <v>2504482.93</v>
      </c>
      <c r="F98" s="353" t="n">
        <v>2504482.93</v>
      </c>
      <c r="G98" s="201" t="n">
        <v>0</v>
      </c>
    </row>
    <row r="99">
      <c r="A99" s="229" t="inlineStr">
        <is>
          <t>סה"כ לדו"ח:</t>
        </is>
      </c>
      <c r="B99" s="230" t="n"/>
      <c r="C99" s="230" t="n"/>
      <c r="D99" s="230" t="n"/>
      <c r="E99" s="353" t="n">
        <v>2504482.93</v>
      </c>
      <c r="F99" s="353" t="n">
        <v>2504482.93</v>
      </c>
      <c r="G99" s="201"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385"/>
  <sheetViews>
    <sheetView rightToLeft="1" topLeftCell="A60" workbookViewId="0">
      <selection activeCell="A1" sqref="A1:IV65536"/>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 xml:space="preserve">מירון יתרות </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285" t="n">
        <v>110</v>
      </c>
      <c r="B4" s="286" t="n">
        <v>1030</v>
      </c>
      <c r="C4" s="206" t="inlineStr">
        <is>
          <t>פקדון</t>
        </is>
      </c>
      <c r="D4" s="299" t="n">
        <v>41402.07</v>
      </c>
      <c r="E4" s="289" t="n"/>
      <c r="F4" s="284" t="n"/>
      <c r="G4" s="284">
        <f>D4-E4+F4</f>
        <v/>
      </c>
      <c r="H4" s="284" t="n"/>
    </row>
    <row r="5">
      <c r="A5" s="285" t="n">
        <v>110</v>
      </c>
      <c r="B5" s="286" t="n">
        <v>1100</v>
      </c>
      <c r="C5" s="206" t="inlineStr">
        <is>
          <t>בנק הפועלים בע"מ</t>
        </is>
      </c>
      <c r="D5" s="287" t="n">
        <v>862306.65</v>
      </c>
      <c r="E5" s="289" t="n"/>
      <c r="F5" s="289" t="n"/>
      <c r="G5" s="284">
        <f>D5-E5+F5</f>
        <v/>
      </c>
      <c r="H5" s="284" t="n"/>
    </row>
    <row r="6">
      <c r="A6" s="285" t="n">
        <v>100</v>
      </c>
      <c r="B6" s="286" t="n">
        <v>1005</v>
      </c>
      <c r="C6" s="206" t="inlineStr">
        <is>
          <t>קופת שקים</t>
        </is>
      </c>
      <c r="D6" s="299" t="n">
        <v>13894</v>
      </c>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89" t="n"/>
      <c r="G8" s="284">
        <f>D8-E8+F8</f>
        <v/>
      </c>
      <c r="H8" s="284" t="n"/>
    </row>
    <row r="9">
      <c r="A9" s="285" t="n">
        <v>110</v>
      </c>
      <c r="B9" s="286" t="n">
        <v>1150</v>
      </c>
      <c r="C9" s="206" t="inlineStr">
        <is>
          <t>שקים לפרעון</t>
        </is>
      </c>
      <c r="D9" s="208" t="n"/>
      <c r="E9" s="297" t="n"/>
      <c r="F9" s="289" t="n"/>
      <c r="G9" s="284">
        <f>D9-E9+F9</f>
        <v/>
      </c>
      <c r="H9" s="284" t="n"/>
    </row>
    <row r="10">
      <c r="A10" s="285" t="n">
        <v>110</v>
      </c>
      <c r="B10" s="346" t="n">
        <v>633</v>
      </c>
      <c r="C10" s="206" t="inlineStr">
        <is>
          <t>633  ישראכרט  עסקי</t>
        </is>
      </c>
      <c r="D10" s="324" t="n">
        <v>22.29</v>
      </c>
      <c r="E10" s="299" t="n"/>
      <c r="F10" s="289" t="n">
        <v>-44.58</v>
      </c>
      <c r="G10" s="284">
        <f>D10-E10+F10</f>
        <v/>
      </c>
      <c r="H10" s="284">
        <f>SUM(G9:G10)</f>
        <v/>
      </c>
      <c r="M10" s="298" t="n">
        <v>1838445</v>
      </c>
    </row>
    <row r="11">
      <c r="A11" s="294" t="n"/>
      <c r="B11" s="294" t="n"/>
      <c r="C11" s="140" t="inlineStr">
        <is>
          <t>לקוחות</t>
        </is>
      </c>
      <c r="D11" s="294" t="n"/>
      <c r="E11" s="160" t="n"/>
      <c r="F11" s="289" t="n"/>
      <c r="G11" s="284">
        <f>D11-E11+F11</f>
        <v/>
      </c>
      <c r="H11" s="284" t="n"/>
    </row>
    <row r="12">
      <c r="A12" s="285" t="n">
        <v>200</v>
      </c>
      <c r="B12" s="286" t="n">
        <v>2040</v>
      </c>
      <c r="C12" s="206" t="inlineStr">
        <is>
          <t>חברת החשמל לישראל בע"מ</t>
        </is>
      </c>
      <c r="D12" s="299" t="n">
        <v>43914</v>
      </c>
      <c r="E12" s="300" t="n"/>
      <c r="F12" s="289" t="n"/>
      <c r="G12" s="284">
        <f>D12-E12+F12</f>
        <v/>
      </c>
      <c r="H12" s="284" t="n"/>
      <c r="M12" s="298" t="n">
        <v>6500</v>
      </c>
    </row>
    <row r="13">
      <c r="A13" s="285" t="n">
        <v>200</v>
      </c>
      <c r="B13" s="286" t="n">
        <v>2080</v>
      </c>
      <c r="C13" s="206" t="inlineStr">
        <is>
          <t>החברה הלאומית לאספקת פחם בע"מ</t>
        </is>
      </c>
      <c r="D13" s="299" t="n">
        <v>22464</v>
      </c>
      <c r="E13" s="300" t="n"/>
      <c r="F13" s="289" t="n"/>
      <c r="G13" s="284">
        <f>D13-E13+F13</f>
        <v/>
      </c>
      <c r="H13" s="284" t="n"/>
    </row>
    <row r="14">
      <c r="A14" s="330" t="n">
        <v>200</v>
      </c>
      <c r="B14" s="331" t="n">
        <v>2059</v>
      </c>
      <c r="C14" s="216" t="inlineStr">
        <is>
          <t>ביטון ליאור</t>
        </is>
      </c>
      <c r="D14" s="332" t="n"/>
      <c r="E14" s="300" t="n"/>
      <c r="F14" s="289" t="n"/>
      <c r="G14" s="284">
        <f>D14-E14+F14</f>
        <v/>
      </c>
      <c r="H14" s="284" t="n"/>
    </row>
    <row r="15">
      <c r="A15" s="300" t="n"/>
      <c r="B15" s="300" t="n"/>
      <c r="C15" s="302" t="n"/>
      <c r="D15" s="170" t="n"/>
      <c r="E15" s="300" t="n"/>
      <c r="F15" s="289" t="n"/>
      <c r="G15" s="284">
        <f>D15-E15+F15</f>
        <v/>
      </c>
      <c r="H15" s="284">
        <f>SUM(G12:G15)</f>
        <v/>
      </c>
      <c r="M15" s="298">
        <f>SUM(M10:M14)</f>
        <v/>
      </c>
    </row>
    <row r="16">
      <c r="A16" s="294" t="n"/>
      <c r="B16" s="294" t="n"/>
      <c r="C16" s="140" t="inlineStr">
        <is>
          <t>פקיד שומה</t>
        </is>
      </c>
      <c r="D16" s="294" t="n"/>
      <c r="E16" s="294" t="n"/>
      <c r="F16" s="289" t="n"/>
      <c r="G16" s="284">
        <f>D16-E16+F16</f>
        <v/>
      </c>
      <c r="H16" s="284" t="n"/>
    </row>
    <row r="17">
      <c r="A17" s="285" t="n">
        <v>270</v>
      </c>
      <c r="B17" s="286" t="n">
        <v>2700</v>
      </c>
      <c r="C17" s="206" t="inlineStr">
        <is>
          <t>נכוי במקור - לקוחות</t>
        </is>
      </c>
      <c r="D17" s="299" t="n">
        <v>84709.35000000001</v>
      </c>
      <c r="E17" s="219" t="n"/>
      <c r="F17" s="289" t="n"/>
      <c r="G17" s="284">
        <f>D17-E17+F17</f>
        <v/>
      </c>
      <c r="H17" s="284" t="n"/>
      <c r="I17" s="298" t="inlineStr">
        <is>
          <t>מתאים לאישורים</t>
        </is>
      </c>
    </row>
    <row r="18">
      <c r="A18" s="285" t="n">
        <v>270</v>
      </c>
      <c r="B18" s="286" t="n">
        <v>2744</v>
      </c>
      <c r="C18" s="206" t="inlineStr">
        <is>
          <t>מס הכנסה שנים קודמות</t>
        </is>
      </c>
      <c r="D18" s="301" t="n">
        <v>3515.18</v>
      </c>
      <c r="E18" s="334" t="n"/>
      <c r="F18" s="289" t="n"/>
      <c r="G18" s="284">
        <f>D18-E18+F18</f>
        <v/>
      </c>
      <c r="H18" s="284" t="n"/>
      <c r="J18" s="298" t="inlineStr">
        <is>
          <t>ב 137 דווח 70388</t>
        </is>
      </c>
    </row>
    <row r="19">
      <c r="A19" s="285" t="n">
        <v>270</v>
      </c>
      <c r="B19" s="286" t="n">
        <v>2745</v>
      </c>
      <c r="C19" s="206" t="inlineStr">
        <is>
          <t>מס הכנסה מקדמות</t>
        </is>
      </c>
      <c r="D19" s="299" t="n">
        <v>15904</v>
      </c>
      <c r="E19" s="219" t="n"/>
      <c r="F19" s="289" t="n"/>
      <c r="G19" s="284">
        <f>D19-E19+F19</f>
        <v/>
      </c>
      <c r="H19" s="284" t="n"/>
      <c r="I19" s="298" t="n">
        <v>20946</v>
      </c>
      <c r="J19" s="298" t="inlineStr">
        <is>
          <t>כולל דצמבר</t>
        </is>
      </c>
    </row>
    <row r="20" ht="17" customHeight="1" s="282" thickBot="1">
      <c r="A20" s="300" t="n"/>
      <c r="B20" s="300" t="n"/>
      <c r="C20" s="302" t="n"/>
      <c r="D20" s="300" t="n"/>
      <c r="E20" s="170" t="n"/>
      <c r="F20" s="289" t="n"/>
      <c r="G20" s="284">
        <f>D20-E20+F20</f>
        <v/>
      </c>
      <c r="H20" s="284">
        <f>SUM(G17:G20)</f>
        <v/>
      </c>
    </row>
    <row r="21">
      <c r="A21" s="294" t="n"/>
      <c r="B21" s="294" t="n"/>
      <c r="C21" s="140" t="inlineStr">
        <is>
          <t>רכוש קבוע</t>
        </is>
      </c>
      <c r="D21" s="294" t="n"/>
      <c r="E21" s="160" t="n"/>
      <c r="F21" s="289" t="n"/>
      <c r="G21" s="284">
        <f>D21-E21+F21</f>
        <v/>
      </c>
      <c r="H21" s="284" t="n"/>
      <c r="M21" s="303" t="inlineStr">
        <is>
          <t>מלאי</t>
        </is>
      </c>
    </row>
    <row r="22">
      <c r="A22" s="290" t="n"/>
      <c r="B22" s="291" t="n"/>
      <c r="C22" s="292" t="n"/>
      <c r="D22" s="293" t="n"/>
      <c r="E22" s="304" t="n"/>
      <c r="F22" s="289" t="n"/>
      <c r="G22" s="284">
        <f>D22-E22+F22</f>
        <v/>
      </c>
      <c r="H22" s="284" t="n"/>
      <c r="M22" s="305" t="n">
        <v>29924</v>
      </c>
    </row>
    <row r="23">
      <c r="A23" s="285" t="n">
        <v>280</v>
      </c>
      <c r="B23" s="286" t="n">
        <v>2800</v>
      </c>
      <c r="C23" s="206" t="inlineStr">
        <is>
          <t>רכוש קבוע</t>
        </is>
      </c>
      <c r="D23" s="287" t="n">
        <v>120404.61</v>
      </c>
      <c r="E23" s="208" t="n"/>
      <c r="F23" s="289" t="n">
        <v>-11435</v>
      </c>
      <c r="G23" s="284">
        <f>D23-E23+F23</f>
        <v/>
      </c>
      <c r="H23" s="284">
        <f>SUM(G22:G23)</f>
        <v/>
      </c>
      <c r="M23" s="305" t="n"/>
    </row>
    <row r="24" ht="17" customHeight="1" s="282" thickBot="1">
      <c r="A24" s="285" t="n">
        <v>280</v>
      </c>
      <c r="B24" s="286" t="n">
        <v>2850</v>
      </c>
      <c r="C24" s="206" t="inlineStr">
        <is>
          <t>פחת נצבר</t>
        </is>
      </c>
      <c r="D24" s="208" t="n"/>
      <c r="E24" s="299" t="n">
        <v>94836</v>
      </c>
      <c r="F24" s="289">
        <f>11435-12756</f>
        <v/>
      </c>
      <c r="G24" s="284">
        <f>D24-E24+F24</f>
        <v/>
      </c>
      <c r="H24" s="284">
        <f>SUM(G24)</f>
        <v/>
      </c>
      <c r="M24" s="306" t="n">
        <v>36943</v>
      </c>
    </row>
    <row r="25">
      <c r="A25" s="294" t="n"/>
      <c r="B25" s="294" t="n"/>
      <c r="C25" s="295" t="n"/>
      <c r="D25" s="294" t="n"/>
      <c r="E25" s="160" t="n"/>
      <c r="F25" s="289" t="n"/>
      <c r="G25" s="284">
        <f>D25-E25+F25</f>
        <v/>
      </c>
      <c r="H25" s="284" t="n"/>
      <c r="M25" s="298">
        <f>SUM(M22:M24)</f>
        <v/>
      </c>
    </row>
    <row r="26">
      <c r="A26" s="294" t="n"/>
      <c r="B26" s="294" t="n"/>
      <c r="C26" s="295" t="n"/>
      <c r="D26" s="294" t="n"/>
      <c r="E26" s="160" t="n"/>
      <c r="F26" s="289" t="n"/>
      <c r="G26" s="284">
        <f>D26-E26+F26</f>
        <v/>
      </c>
      <c r="H26" s="284" t="n"/>
    </row>
    <row r="27">
      <c r="A27" s="294" t="n">
        <v>290</v>
      </c>
      <c r="B27" s="294" t="n">
        <v>2901</v>
      </c>
      <c r="C27" s="294" t="inlineStr">
        <is>
          <t>מלאי עבודות בביצוע מאזן</t>
        </is>
      </c>
      <c r="D27" s="294" t="n"/>
      <c r="E27" s="160" t="n"/>
      <c r="F27" s="289" t="n">
        <v>65797</v>
      </c>
      <c r="G27" s="284">
        <f>D27-E27+F27</f>
        <v/>
      </c>
      <c r="H27" s="284" t="n"/>
    </row>
    <row r="28">
      <c r="A28" s="294" t="n"/>
      <c r="B28" s="294" t="n"/>
      <c r="C28" s="140" t="inlineStr">
        <is>
          <t>ספקים</t>
        </is>
      </c>
      <c r="D28" s="294" t="n"/>
      <c r="E28" s="160" t="n"/>
      <c r="F28" s="289" t="n"/>
      <c r="G28" s="284">
        <f>D28-E28+F28</f>
        <v/>
      </c>
      <c r="H28" s="284" t="n"/>
    </row>
    <row r="29">
      <c r="A29" s="285" t="n">
        <v>300</v>
      </c>
      <c r="B29" s="286" t="n">
        <v>3049</v>
      </c>
      <c r="C29" s="206" t="inlineStr">
        <is>
          <t>דקוליין ציפויים דקורטיביים בע"מ</t>
        </is>
      </c>
      <c r="D29" s="301" t="n">
        <v>1044</v>
      </c>
      <c r="E29" s="208" t="n"/>
      <c r="F29" s="289" t="n"/>
      <c r="G29" s="284">
        <f>D29-E29+F29</f>
        <v/>
      </c>
      <c r="H29" s="284" t="n"/>
    </row>
    <row r="30">
      <c r="A30" s="285" t="n">
        <v>300</v>
      </c>
      <c r="B30" s="286" t="n">
        <v>3083</v>
      </c>
      <c r="C30" s="206" t="inlineStr">
        <is>
          <t>סופרדיל אדיב בע"מ</t>
        </is>
      </c>
      <c r="D30" s="208" t="n"/>
      <c r="E30" s="301" t="n">
        <v>1106.9</v>
      </c>
      <c r="F30" s="289" t="n"/>
      <c r="G30" s="284">
        <f>D30-E30+F30</f>
        <v/>
      </c>
      <c r="H30" s="284" t="n"/>
    </row>
    <row r="31">
      <c r="A31" s="285" t="n">
        <v>300</v>
      </c>
      <c r="B31" s="286" t="n">
        <v>3137</v>
      </c>
      <c r="C31" s="206" t="inlineStr">
        <is>
          <t>קובי ניסים בע"מ</t>
        </is>
      </c>
      <c r="D31" s="208" t="n"/>
      <c r="E31" s="301" t="n">
        <v>1053</v>
      </c>
      <c r="F31" s="289" t="n"/>
      <c r="G31" s="284">
        <f>D31-E31+F31</f>
        <v/>
      </c>
      <c r="H31" s="284" t="n"/>
    </row>
    <row r="32">
      <c r="A32" s="285" t="n">
        <v>300</v>
      </c>
      <c r="B32" s="286" t="n">
        <v>3241</v>
      </c>
      <c r="C32" s="206" t="inlineStr">
        <is>
          <t>אורלי - משאבי אנרגיה בע"מ</t>
        </is>
      </c>
      <c r="D32" s="208" t="n"/>
      <c r="E32" s="301" t="n">
        <v>1858</v>
      </c>
      <c r="F32" s="289" t="n"/>
      <c r="G32" s="284">
        <f>D32-E32+F32</f>
        <v/>
      </c>
      <c r="H32" s="284" t="n"/>
    </row>
    <row r="33">
      <c r="A33" s="336" t="n">
        <v>350</v>
      </c>
      <c r="B33" s="337" t="n">
        <v>3515</v>
      </c>
      <c r="C33" s="338" t="inlineStr">
        <is>
          <t>מגדל חברה לביטוח</t>
        </is>
      </c>
      <c r="D33" s="339" t="n"/>
      <c r="E33" s="340" t="n"/>
      <c r="F33" s="289" t="n"/>
      <c r="G33" s="284">
        <f>D33-E33+F33</f>
        <v/>
      </c>
      <c r="H33" s="284">
        <f>SUM(G29:G33)</f>
        <v/>
      </c>
    </row>
    <row r="34">
      <c r="A34" s="294" t="n"/>
      <c r="B34" s="294" t="n"/>
      <c r="C34" s="294" t="n"/>
      <c r="D34" s="294" t="n"/>
      <c r="E34" s="294" t="n"/>
      <c r="F34" s="289" t="n"/>
      <c r="G34" s="284">
        <f>D34-E34+F34</f>
        <v/>
      </c>
      <c r="H34" s="284" t="n"/>
    </row>
    <row r="35">
      <c r="A35" s="294" t="n"/>
      <c r="B35" s="294" t="n"/>
      <c r="C35" s="294" t="inlineStr">
        <is>
          <t>הוצאות מראש</t>
        </is>
      </c>
      <c r="D35" s="294" t="n"/>
      <c r="E35" s="294" t="n"/>
      <c r="F35" s="289" t="n"/>
      <c r="G35" s="284">
        <f>D35-E35+F35</f>
        <v/>
      </c>
      <c r="H35" s="284" t="n"/>
    </row>
    <row r="36">
      <c r="A36" s="294" t="n"/>
      <c r="B36" s="294" t="n"/>
      <c r="C36" s="294" t="n"/>
      <c r="D36" s="294" t="n"/>
      <c r="E36" s="294" t="n"/>
      <c r="F36" s="289" t="n"/>
      <c r="G36" s="284">
        <f>D36-E36+F36</f>
        <v/>
      </c>
      <c r="H36" s="284" t="n"/>
    </row>
    <row r="37">
      <c r="A37" s="285" t="n">
        <v>750</v>
      </c>
      <c r="B37" s="286" t="n">
        <v>7550</v>
      </c>
      <c r="C37" s="206" t="inlineStr">
        <is>
          <t>הוצאות לשלם</t>
        </is>
      </c>
      <c r="D37" s="208" t="n"/>
      <c r="E37" s="301" t="n"/>
      <c r="F37" s="289" t="n">
        <v>-8000</v>
      </c>
      <c r="G37" s="284">
        <f>D37-E37+F37</f>
        <v/>
      </c>
      <c r="H37" s="284" t="n"/>
    </row>
    <row r="38">
      <c r="A38" s="294" t="n"/>
      <c r="B38" s="294" t="n"/>
      <c r="C38" s="294" t="n"/>
      <c r="D38" s="294" t="n"/>
      <c r="E38" s="294" t="n"/>
      <c r="F38" s="289" t="n"/>
      <c r="G38" s="284">
        <f>D38-E38+F38</f>
        <v/>
      </c>
      <c r="H38" s="284" t="n"/>
    </row>
    <row r="39">
      <c r="A39" s="294" t="n"/>
      <c r="B39" s="294" t="n"/>
      <c r="C39" s="294" t="n"/>
      <c r="D39" s="294" t="n"/>
      <c r="E39" s="294" t="n"/>
      <c r="F39" s="289" t="n"/>
      <c r="G39" s="284">
        <f>D39-E39+F39</f>
        <v/>
      </c>
      <c r="H39" s="284" t="n"/>
    </row>
    <row r="40">
      <c r="A40" s="285" t="n">
        <v>360</v>
      </c>
      <c r="B40" s="286" t="n">
        <v>3600</v>
      </c>
      <c r="C40" s="206" t="inlineStr">
        <is>
          <t>מס הכנסה ניכויים</t>
        </is>
      </c>
      <c r="D40" s="208" t="n"/>
      <c r="E40" s="297" t="n">
        <v>621</v>
      </c>
      <c r="F40" s="289" t="n"/>
      <c r="G40" s="284">
        <f>D40-E40+F40</f>
        <v/>
      </c>
      <c r="H40" s="284" t="n"/>
    </row>
    <row r="41">
      <c r="A41" s="285" t="n">
        <v>360</v>
      </c>
      <c r="B41" s="286" t="n">
        <v>3610</v>
      </c>
      <c r="C41" s="206" t="inlineStr">
        <is>
          <t>ביטוח לאומי ניכויים</t>
        </is>
      </c>
      <c r="D41" s="208" t="n"/>
      <c r="E41" s="324" t="n">
        <v>52</v>
      </c>
      <c r="F41" s="289" t="n">
        <v>-3084</v>
      </c>
      <c r="G41" s="284">
        <f>D41-E41+F41</f>
        <v/>
      </c>
      <c r="H41" s="284" t="n"/>
    </row>
    <row r="42">
      <c r="A42" s="285" t="n">
        <v>351</v>
      </c>
      <c r="B42" s="286" t="n">
        <v>3640</v>
      </c>
      <c r="C42" s="206" t="inlineStr">
        <is>
          <t>הפניקס קרן פנסיה</t>
        </is>
      </c>
      <c r="D42" s="208" t="n"/>
      <c r="E42" s="299" t="n">
        <v>14482</v>
      </c>
      <c r="F42" s="289" t="n"/>
      <c r="G42" s="284">
        <f>D42-E42+F42</f>
        <v/>
      </c>
      <c r="H42" s="284" t="n"/>
    </row>
    <row r="43">
      <c r="A43" s="285" t="n">
        <v>370</v>
      </c>
      <c r="B43" s="286" t="n">
        <v>3707</v>
      </c>
      <c r="C43" s="206" t="inlineStr">
        <is>
          <t>ראובן לוסי</t>
        </is>
      </c>
      <c r="D43" s="208" t="n"/>
      <c r="E43" s="297" t="n">
        <v>300</v>
      </c>
      <c r="F43" s="289" t="n"/>
      <c r="G43" s="284">
        <f>D43-E43+F43</f>
        <v/>
      </c>
      <c r="H43" s="284" t="n"/>
    </row>
    <row r="44">
      <c r="A44" s="285" t="n">
        <v>370</v>
      </c>
      <c r="B44" s="286" t="n">
        <v>3717</v>
      </c>
      <c r="C44" s="206" t="inlineStr">
        <is>
          <t>מוריוסף אשר</t>
        </is>
      </c>
      <c r="D44" s="208" t="n"/>
      <c r="E44" s="301" t="n">
        <v>7100</v>
      </c>
      <c r="F44" s="289" t="n"/>
      <c r="G44" s="284">
        <f>D44-E44+F44</f>
        <v/>
      </c>
      <c r="H44" s="284" t="n"/>
    </row>
    <row r="45">
      <c r="A45" s="285" t="n">
        <v>370</v>
      </c>
      <c r="B45" s="286" t="n">
        <v>3739</v>
      </c>
      <c r="C45" s="206" t="inlineStr">
        <is>
          <t>מור יוסף לינוי</t>
        </is>
      </c>
      <c r="D45" s="208" t="n"/>
      <c r="E45" s="299" t="n">
        <v>11500</v>
      </c>
      <c r="F45" s="289" t="n"/>
      <c r="G45" s="284">
        <f>D45-E45+F45</f>
        <v/>
      </c>
      <c r="H45" s="284" t="n"/>
    </row>
    <row r="46">
      <c r="A46" s="285" t="n">
        <v>370</v>
      </c>
      <c r="B46" s="286" t="n">
        <v>3747</v>
      </c>
      <c r="C46" s="206" t="inlineStr">
        <is>
          <t>דניאל רטנר</t>
        </is>
      </c>
      <c r="D46" s="208" t="n"/>
      <c r="E46" s="301" t="n">
        <v>5200</v>
      </c>
      <c r="F46" s="289" t="n"/>
      <c r="G46" s="284">
        <f>D46-E46+F46</f>
        <v/>
      </c>
      <c r="H46" s="284" t="n"/>
    </row>
    <row r="47">
      <c r="A47" s="336" t="n">
        <v>370</v>
      </c>
      <c r="B47" s="337" t="n">
        <v>3731</v>
      </c>
      <c r="C47" s="338" t="inlineStr">
        <is>
          <t>ראובן רחמים</t>
        </is>
      </c>
      <c r="D47" s="340" t="n"/>
      <c r="E47" s="339" t="n"/>
      <c r="F47" s="289" t="n"/>
      <c r="G47" s="284">
        <f>D47-E47+F47</f>
        <v/>
      </c>
      <c r="H47" s="284">
        <f>SUM(G40:G47)</f>
        <v/>
      </c>
    </row>
    <row r="48">
      <c r="A48" s="294" t="n"/>
      <c r="B48" s="294" t="n"/>
      <c r="C48" s="140" t="inlineStr">
        <is>
          <t>אגף המכס והבלו</t>
        </is>
      </c>
      <c r="D48" s="294" t="n"/>
      <c r="E48" s="160" t="n"/>
      <c r="F48" s="289" t="n"/>
      <c r="G48" s="284">
        <f>D48-E48+F48</f>
        <v/>
      </c>
      <c r="H48" s="284" t="n"/>
    </row>
    <row r="49">
      <c r="A49" s="285" t="n">
        <v>500</v>
      </c>
      <c r="B49" s="286" t="n">
        <v>5000</v>
      </c>
      <c r="C49" s="206" t="inlineStr">
        <is>
          <t>מעמ תשומות</t>
        </is>
      </c>
      <c r="D49" s="297" t="n">
        <v>652.6799999999999</v>
      </c>
      <c r="E49" s="208" t="n"/>
      <c r="F49" s="289" t="n"/>
      <c r="G49" s="284">
        <f>D49-E49+F49</f>
        <v/>
      </c>
      <c r="H49" s="284" t="n"/>
    </row>
    <row r="50">
      <c r="A50" s="285" t="n">
        <v>500</v>
      </c>
      <c r="B50" s="286" t="n">
        <v>5040</v>
      </c>
      <c r="C50" s="206" t="inlineStr">
        <is>
          <t>חוז מעמ</t>
        </is>
      </c>
      <c r="D50" s="208" t="n"/>
      <c r="E50" s="299" t="n">
        <v>29609</v>
      </c>
      <c r="F50" s="289" t="n"/>
      <c r="G50" s="284">
        <f>D50-E50+F50</f>
        <v/>
      </c>
      <c r="H50" s="284" t="n"/>
    </row>
    <row r="51">
      <c r="A51" s="290" t="n"/>
      <c r="B51" s="291" t="n"/>
      <c r="C51" s="292" t="n"/>
      <c r="D51" s="304" t="n"/>
      <c r="E51" s="311" t="n"/>
      <c r="F51" s="289" t="n"/>
      <c r="G51" s="284">
        <f>D51-E51+F51</f>
        <v/>
      </c>
      <c r="H51" s="284">
        <f>SUM(G49:G51)</f>
        <v/>
      </c>
    </row>
    <row r="52">
      <c r="A52" s="294" t="n"/>
      <c r="B52" s="294" t="n"/>
      <c r="C52" s="295" t="n"/>
      <c r="D52" s="294" t="n"/>
      <c r="E52" s="160" t="n"/>
      <c r="F52" s="289" t="n"/>
      <c r="G52" s="284">
        <f>D52-E52+F52</f>
        <v/>
      </c>
      <c r="H52" s="284" t="n"/>
    </row>
    <row r="53">
      <c r="A53" s="285" t="n">
        <v>510</v>
      </c>
      <c r="B53" s="286" t="n">
        <v>5100</v>
      </c>
      <c r="C53" s="206" t="inlineStr">
        <is>
          <t>ראובן מירון</t>
        </is>
      </c>
      <c r="D53" s="208" t="n"/>
      <c r="E53" s="299" t="n">
        <v>22068.77</v>
      </c>
      <c r="F53" s="289" t="n"/>
      <c r="G53" s="284">
        <f>D53-E53+F53</f>
        <v/>
      </c>
      <c r="H53" s="284" t="n"/>
    </row>
    <row r="54">
      <c r="A54" s="294" t="n"/>
      <c r="B54" s="294" t="n"/>
      <c r="C54" s="295" t="n"/>
      <c r="D54" s="294" t="n"/>
      <c r="E54" s="160" t="n"/>
      <c r="F54" s="289" t="n"/>
      <c r="G54" s="284">
        <f>D54-E54+F54</f>
        <v/>
      </c>
      <c r="H54" s="284" t="n"/>
    </row>
    <row r="55">
      <c r="A55" s="312" t="n">
        <v>400</v>
      </c>
      <c r="B55" s="313" t="n">
        <v>4000</v>
      </c>
      <c r="C55" s="314" t="inlineStr">
        <is>
          <t>הון מניות</t>
        </is>
      </c>
      <c r="D55" s="315" t="n"/>
      <c r="E55" s="316" t="n">
        <v>100</v>
      </c>
      <c r="F55" s="289" t="n"/>
      <c r="G55" s="284">
        <f>D55-E55+F55</f>
        <v/>
      </c>
      <c r="H55" s="284" t="n"/>
    </row>
    <row r="56">
      <c r="A56" s="285" t="n">
        <v>450</v>
      </c>
      <c r="B56" s="286" t="n">
        <v>4500</v>
      </c>
      <c r="C56" s="206" t="inlineStr">
        <is>
          <t>חשבון רווח/הפסד</t>
        </is>
      </c>
      <c r="D56" s="208" t="n"/>
      <c r="E56" s="287" t="n">
        <v>846468.46</v>
      </c>
      <c r="F56" s="289" t="n"/>
      <c r="G56" s="284">
        <f>D56-E56+F56</f>
        <v/>
      </c>
      <c r="H56" s="284" t="n"/>
    </row>
    <row r="57">
      <c r="A57" s="317" t="n"/>
      <c r="B57" s="317" t="n"/>
      <c r="C57" s="317" t="n"/>
      <c r="D57" s="317" t="n"/>
      <c r="E57" s="317" t="n"/>
      <c r="F57" s="317" t="n"/>
      <c r="G57" s="284">
        <f>D57-E57+F57</f>
        <v/>
      </c>
      <c r="H57" s="284" t="n"/>
    </row>
    <row r="58">
      <c r="A58" s="317" t="n"/>
      <c r="B58" s="317" t="n"/>
      <c r="C58" s="317" t="n"/>
      <c r="D58" s="317" t="n"/>
      <c r="E58" s="317" t="n"/>
      <c r="F58" s="317" t="n"/>
      <c r="G58" s="284">
        <f>D58-E58+F58</f>
        <v/>
      </c>
      <c r="H58" s="284" t="n"/>
    </row>
    <row r="59">
      <c r="A59" s="285" t="n">
        <v>600</v>
      </c>
      <c r="B59" s="286" t="n">
        <v>6000</v>
      </c>
      <c r="C59" s="206" t="inlineStr">
        <is>
          <t>הכנסות</t>
        </is>
      </c>
      <c r="D59" s="208" t="n"/>
      <c r="E59" s="352" t="n">
        <v>1021917.09</v>
      </c>
      <c r="F59" s="317" t="n"/>
      <c r="G59" s="284">
        <f>D59-E59+F59</f>
        <v/>
      </c>
      <c r="H59" s="284" t="n"/>
    </row>
    <row r="60">
      <c r="A60" s="285" t="n">
        <v>600</v>
      </c>
      <c r="B60" s="286" t="n">
        <v>6008</v>
      </c>
      <c r="C60" s="206" t="inlineStr">
        <is>
          <t>הכנסות מניקוי אוניות פחם - חברת החשמל</t>
        </is>
      </c>
      <c r="D60" s="208" t="n"/>
      <c r="E60" s="287" t="n">
        <v>442154.71</v>
      </c>
      <c r="F60" s="289" t="n"/>
      <c r="G60" s="284">
        <f>D60-E60+F60</f>
        <v/>
      </c>
      <c r="H60" s="284" t="n"/>
    </row>
    <row r="61">
      <c r="A61" s="285" t="n">
        <v>600</v>
      </c>
      <c r="B61" s="286" t="n">
        <v>6010</v>
      </c>
      <c r="C61" s="206" t="inlineStr">
        <is>
          <t>הכנסות - החברה הלאומית לאספקת פחם</t>
        </is>
      </c>
      <c r="D61" s="208" t="n"/>
      <c r="E61" s="299" t="n"/>
      <c r="F61" s="289" t="n"/>
      <c r="G61" s="284">
        <f>D61-E61+F61</f>
        <v/>
      </c>
      <c r="H61" s="284">
        <f>SUM(G59:G62)</f>
        <v/>
      </c>
    </row>
    <row r="62" customFormat="1" s="298">
      <c r="A62" s="285" t="n">
        <v>610</v>
      </c>
      <c r="B62" s="286" t="n">
        <v>6250</v>
      </c>
      <c r="C62" s="206" t="inlineStr">
        <is>
          <t>מכירת ציוד חייב מעמ</t>
        </is>
      </c>
      <c r="D62" s="208" t="n"/>
      <c r="E62" s="301" t="n"/>
      <c r="F62" s="289" t="n"/>
      <c r="G62" s="284">
        <f>D62-E62+F62</f>
        <v/>
      </c>
      <c r="H62" s="284" t="n"/>
    </row>
    <row r="63" customFormat="1" s="298">
      <c r="A63" s="290" t="n"/>
      <c r="B63" s="291" t="n"/>
      <c r="C63" s="292" t="n"/>
      <c r="D63" s="304" t="n"/>
      <c r="E63" s="318" t="n"/>
      <c r="F63" s="289" t="n"/>
      <c r="G63" s="284" t="n"/>
      <c r="H63" s="284" t="n"/>
    </row>
    <row r="64">
      <c r="A64" s="285" t="n">
        <v>650</v>
      </c>
      <c r="B64" s="286" t="n">
        <v>6500</v>
      </c>
      <c r="C64" s="206" t="inlineStr">
        <is>
          <t>קניות</t>
        </is>
      </c>
      <c r="D64" s="299" t="n">
        <v>95529.11</v>
      </c>
      <c r="E64" s="294" t="n"/>
      <c r="F64" s="289">
        <f>3084</f>
        <v/>
      </c>
      <c r="G64" s="284">
        <f>D64-E64+F64</f>
        <v/>
      </c>
      <c r="H64" s="284" t="n"/>
    </row>
    <row r="65">
      <c r="A65" s="285" t="n">
        <v>660</v>
      </c>
      <c r="B65" s="286" t="n">
        <v>6600</v>
      </c>
      <c r="C65" s="206" t="inlineStr">
        <is>
          <t>קבלני משנה</t>
        </is>
      </c>
      <c r="D65" s="299" t="n">
        <v>36170.94</v>
      </c>
      <c r="E65" s="294" t="n"/>
      <c r="F65" s="289" t="n"/>
      <c r="G65" s="284">
        <f>D65-E65+F65</f>
        <v/>
      </c>
      <c r="H65" s="284" t="n"/>
    </row>
    <row r="66">
      <c r="A66" s="285" t="n">
        <v>660</v>
      </c>
      <c r="B66" s="286" t="n">
        <v>6605</v>
      </c>
      <c r="C66" s="206" t="inlineStr">
        <is>
          <t>פינוי פסולת</t>
        </is>
      </c>
      <c r="D66" s="301" t="n">
        <v>4400</v>
      </c>
      <c r="E66" s="294" t="n"/>
      <c r="F66" s="289" t="n"/>
      <c r="G66" s="284">
        <f>D66-E66+F66</f>
        <v/>
      </c>
      <c r="H66" s="284" t="n"/>
    </row>
    <row r="67">
      <c r="A67" s="285" t="n">
        <v>730</v>
      </c>
      <c r="B67" s="286" t="n">
        <v>7301</v>
      </c>
      <c r="C67" s="206" t="inlineStr">
        <is>
          <t>כלי עבודה</t>
        </is>
      </c>
      <c r="D67" s="301" t="n">
        <v>4970.09</v>
      </c>
      <c r="E67" s="294" t="n"/>
      <c r="F67" s="289" t="n"/>
      <c r="G67" s="284">
        <f>D67-E67+F67</f>
        <v/>
      </c>
      <c r="H67" s="284">
        <f>SUM(G64:G67)</f>
        <v/>
      </c>
    </row>
    <row r="68">
      <c r="A68" s="300" t="n"/>
      <c r="B68" s="300" t="n"/>
      <c r="C68" s="302" t="n"/>
      <c r="D68" s="170" t="n"/>
      <c r="E68" s="294" t="n"/>
      <c r="F68" s="289" t="n"/>
      <c r="G68" s="284">
        <f>D68-E68+F68</f>
        <v/>
      </c>
      <c r="H68" s="284" t="n"/>
    </row>
    <row r="69">
      <c r="A69" s="285" t="n">
        <v>650</v>
      </c>
      <c r="B69" s="286" t="n">
        <v>6400</v>
      </c>
      <c r="C69" s="206" t="inlineStr">
        <is>
          <t>מלאי פתיחה רווח והפסד</t>
        </is>
      </c>
      <c r="D69" s="299" t="n">
        <v>39233</v>
      </c>
      <c r="E69" s="300" t="n"/>
      <c r="F69" s="294" t="n"/>
      <c r="G69" s="284">
        <f>D69-E69+F69</f>
        <v/>
      </c>
      <c r="H69" s="284" t="n"/>
    </row>
    <row r="70">
      <c r="A70" s="320" t="n">
        <v>720</v>
      </c>
      <c r="B70" s="321" t="n">
        <v>6800</v>
      </c>
      <c r="C70" s="164" t="inlineStr">
        <is>
          <t>מלאי  סגירה רווח והפסד</t>
        </is>
      </c>
      <c r="D70" s="165" t="n"/>
      <c r="E70" s="322" t="n"/>
      <c r="F70" s="294" t="n">
        <v>-65797</v>
      </c>
      <c r="G70" s="284">
        <f>D70-E70+F70</f>
        <v/>
      </c>
      <c r="H70" s="284">
        <f>SUM(G69:G70)</f>
        <v/>
      </c>
    </row>
    <row r="71">
      <c r="A71" s="317" t="n"/>
      <c r="B71" s="294" t="n"/>
      <c r="C71" s="295" t="n"/>
      <c r="D71" s="294" t="n"/>
      <c r="E71" s="294" t="n"/>
      <c r="F71" s="294" t="n"/>
      <c r="G71" s="284">
        <f>D71-E71+F71</f>
        <v/>
      </c>
      <c r="H71" s="284" t="n"/>
    </row>
    <row r="72">
      <c r="A72" s="285" t="n">
        <v>700</v>
      </c>
      <c r="B72" s="286" t="n">
        <v>7000</v>
      </c>
      <c r="C72" s="206" t="inlineStr">
        <is>
          <t>שכר עבודה</t>
        </is>
      </c>
      <c r="D72" s="287" t="n">
        <v>681221</v>
      </c>
      <c r="E72" s="208" t="n"/>
      <c r="F72" s="289" t="n"/>
      <c r="G72" s="284">
        <f>D72-E72+F72</f>
        <v/>
      </c>
      <c r="H72" s="284" t="n"/>
    </row>
    <row r="73">
      <c r="A73" s="285" t="n">
        <v>700</v>
      </c>
      <c r="B73" s="286" t="n">
        <v>7001</v>
      </c>
      <c r="C73" s="206" t="inlineStr">
        <is>
          <t>סוציאליות</t>
        </is>
      </c>
      <c r="D73" s="299" t="n">
        <v>36127</v>
      </c>
      <c r="E73" s="208" t="n"/>
      <c r="F73" s="289" t="n"/>
      <c r="G73" s="284">
        <f>D73-E73+F73</f>
        <v/>
      </c>
      <c r="H73" s="284" t="n"/>
      <c r="J73" s="298">
        <f>SUM(G60:G110)</f>
        <v/>
      </c>
    </row>
    <row r="74">
      <c r="A74" s="285" t="n">
        <v>700</v>
      </c>
      <c r="B74" s="286" t="n">
        <v>7002</v>
      </c>
      <c r="C74" s="206" t="inlineStr">
        <is>
          <t>גמל מעביד</t>
        </is>
      </c>
      <c r="D74" s="301" t="n">
        <v>5292</v>
      </c>
      <c r="E74" s="208" t="n"/>
      <c r="F74" s="289" t="n"/>
      <c r="G74" s="284">
        <f>D74-E74+F74</f>
        <v/>
      </c>
      <c r="H74" s="284" t="n"/>
    </row>
    <row r="75">
      <c r="A75" s="285" t="n">
        <v>700</v>
      </c>
      <c r="B75" s="286" t="n">
        <v>7006</v>
      </c>
      <c r="C75" s="206" t="inlineStr">
        <is>
          <t>הוצ גמל פיצויים</t>
        </is>
      </c>
      <c r="D75" s="301" t="n">
        <v>6792</v>
      </c>
      <c r="E75" s="208" t="n"/>
      <c r="F75" s="289" t="n"/>
      <c r="G75" s="284">
        <f>D75-E75+F75</f>
        <v/>
      </c>
      <c r="H75" s="284" t="n"/>
    </row>
    <row r="76">
      <c r="A76" s="285" t="n">
        <v>700</v>
      </c>
      <c r="B76" s="286" t="n">
        <v>7010</v>
      </c>
      <c r="C76" s="206" t="inlineStr">
        <is>
          <t>הכנסות זקופות</t>
        </is>
      </c>
      <c r="D76" s="208" t="n"/>
      <c r="E76" s="301" t="n">
        <v>1262</v>
      </c>
      <c r="F76" s="289" t="n"/>
      <c r="G76" s="284">
        <f>D76-E76+F76</f>
        <v/>
      </c>
      <c r="H76" s="284" t="n"/>
    </row>
    <row r="77">
      <c r="A77" s="285" t="n">
        <v>700</v>
      </c>
      <c r="B77" s="286" t="n">
        <v>7020</v>
      </c>
      <c r="C77" s="206" t="inlineStr">
        <is>
          <t>הוצאות פיצויים (בתלוש)</t>
        </is>
      </c>
      <c r="D77" s="301" t="n">
        <v>8000</v>
      </c>
      <c r="E77" s="208" t="n"/>
      <c r="F77" s="289" t="n"/>
      <c r="G77" s="284">
        <f>D77-E77+F77</f>
        <v/>
      </c>
      <c r="H77" s="284" t="n"/>
    </row>
    <row r="78">
      <c r="A78" s="285" t="n">
        <v>720</v>
      </c>
      <c r="B78" s="286" t="n">
        <v>7209</v>
      </c>
      <c r="C78" s="206" t="inlineStr">
        <is>
          <t>ביגוד ונעלי עבודה</t>
        </is>
      </c>
      <c r="D78" s="297" t="n">
        <v>577.5599999999999</v>
      </c>
      <c r="E78" s="294" t="n"/>
      <c r="F78" s="289" t="n"/>
      <c r="G78" s="284">
        <f>D78-E78+F78</f>
        <v/>
      </c>
      <c r="H78" s="284">
        <f>SUM(G72:G78)</f>
        <v/>
      </c>
    </row>
    <row r="79">
      <c r="A79" s="294" t="n"/>
      <c r="B79" s="294" t="n"/>
      <c r="C79" s="295" t="n"/>
      <c r="D79" s="160" t="n"/>
      <c r="E79" s="294" t="n"/>
      <c r="F79" s="289" t="n"/>
      <c r="G79" s="284">
        <f>D79-E79+F79</f>
        <v/>
      </c>
      <c r="H79" s="284" t="n"/>
    </row>
    <row r="80">
      <c r="A80" s="285" t="n">
        <v>720</v>
      </c>
      <c r="B80" s="286" t="n">
        <v>7251</v>
      </c>
      <c r="C80" s="206" t="inlineStr">
        <is>
          <t>השתלמויות וקורסים</t>
        </is>
      </c>
      <c r="D80" s="301" t="n">
        <v>3900</v>
      </c>
      <c r="E80" s="300" t="n"/>
      <c r="F80" s="289" t="n"/>
      <c r="G80" s="284">
        <f>D80-E80+F80</f>
        <v/>
      </c>
      <c r="H80" s="284" t="n"/>
    </row>
    <row r="81">
      <c r="A81" s="285" t="n">
        <v>720</v>
      </c>
      <c r="B81" s="286" t="n">
        <v>7200</v>
      </c>
      <c r="C81" s="206" t="inlineStr">
        <is>
          <t>משרדיות</t>
        </is>
      </c>
      <c r="D81" s="301" t="n">
        <v>1664.1</v>
      </c>
      <c r="E81" s="300" t="n"/>
      <c r="F81" s="289" t="n"/>
      <c r="G81" s="284">
        <f>D81-E81+F81</f>
        <v/>
      </c>
      <c r="H81" s="284">
        <f>SUM(G80:G81)</f>
        <v/>
      </c>
    </row>
    <row r="82">
      <c r="A82" s="294" t="n"/>
      <c r="B82" s="294" t="n"/>
      <c r="C82" s="295" t="n"/>
      <c r="D82" s="160" t="n"/>
      <c r="E82" s="300" t="n"/>
      <c r="F82" s="289" t="n"/>
      <c r="G82" s="284" t="n"/>
      <c r="H82" s="284" t="n"/>
    </row>
    <row r="83">
      <c r="A83" s="285" t="n">
        <v>720</v>
      </c>
      <c r="B83" s="286" t="n">
        <v>7204</v>
      </c>
      <c r="C83" s="206" t="inlineStr">
        <is>
          <t>אגרות</t>
        </is>
      </c>
      <c r="D83" s="301" t="n">
        <v>1162</v>
      </c>
      <c r="E83" s="300" t="n"/>
      <c r="F83" s="289" t="n"/>
      <c r="G83" s="284">
        <f>D83-E83+F83</f>
        <v/>
      </c>
      <c r="H83" s="284">
        <f>SUM(G81:G83)</f>
        <v/>
      </c>
    </row>
    <row r="84">
      <c r="A84" s="317" t="n"/>
      <c r="B84" s="317" t="n"/>
      <c r="C84" s="317" t="n"/>
      <c r="D84" s="317" t="n"/>
      <c r="E84" s="317" t="n"/>
      <c r="F84" s="317" t="n"/>
      <c r="G84" s="284">
        <f>D84-E84+F84</f>
        <v/>
      </c>
      <c r="H84" s="284" t="n"/>
    </row>
    <row r="85">
      <c r="A85" s="330" t="n">
        <v>720</v>
      </c>
      <c r="B85" s="331" t="n">
        <v>7206</v>
      </c>
      <c r="C85" s="216" t="inlineStr">
        <is>
          <t>שכ"ט ומשפטיות</t>
        </is>
      </c>
      <c r="D85" s="334" t="n"/>
      <c r="E85" s="300" t="n"/>
      <c r="F85" s="289" t="n"/>
      <c r="G85" s="284">
        <f>D85-E85+F85</f>
        <v/>
      </c>
      <c r="H85" s="284" t="n"/>
    </row>
    <row r="86">
      <c r="A86" s="285" t="n">
        <v>720</v>
      </c>
      <c r="B86" s="286" t="n">
        <v>7250</v>
      </c>
      <c r="C86" s="206" t="inlineStr">
        <is>
          <t>הנהח וביקורת</t>
        </is>
      </c>
      <c r="D86" s="299" t="n">
        <v>14000</v>
      </c>
      <c r="E86" s="300" t="n"/>
      <c r="F86" s="289" t="n">
        <v>8000</v>
      </c>
      <c r="G86" s="284">
        <f>D86-E86+F86</f>
        <v/>
      </c>
      <c r="H86" s="284">
        <f>SUM(G85:G86)</f>
        <v/>
      </c>
    </row>
    <row r="87">
      <c r="A87" s="300" t="n"/>
      <c r="B87" s="300" t="n"/>
      <c r="C87" s="300" t="n"/>
      <c r="D87" s="300" t="n"/>
      <c r="E87" s="300" t="n"/>
      <c r="F87" s="289" t="n"/>
      <c r="G87" s="284">
        <f>D87-E87+F87</f>
        <v/>
      </c>
      <c r="H87" s="284" t="n"/>
    </row>
    <row r="88">
      <c r="A88" s="285" t="n">
        <v>720</v>
      </c>
      <c r="B88" s="286" t="n">
        <v>7210</v>
      </c>
      <c r="C88" s="206" t="inlineStr">
        <is>
          <t>טלפון ותקשורת</t>
        </is>
      </c>
      <c r="D88" s="301" t="n">
        <v>2160.59</v>
      </c>
      <c r="E88" s="300" t="n"/>
      <c r="F88" s="289" t="n"/>
      <c r="G88" s="284">
        <f>D88-E88+F88</f>
        <v/>
      </c>
      <c r="H88" s="284" t="n"/>
    </row>
    <row r="89">
      <c r="A89" s="300" t="n"/>
      <c r="B89" s="300" t="n"/>
      <c r="C89" s="300" t="n"/>
      <c r="D89" s="300" t="n"/>
      <c r="E89" s="300" t="n"/>
      <c r="F89" s="289" t="n"/>
      <c r="G89" s="284">
        <f>D89-E89+F89</f>
        <v/>
      </c>
      <c r="H89" s="284" t="n"/>
    </row>
    <row r="90">
      <c r="A90" s="320" t="n">
        <v>730</v>
      </c>
      <c r="B90" s="321" t="n">
        <v>7302</v>
      </c>
      <c r="C90" s="164" t="inlineStr">
        <is>
          <t>הובלות</t>
        </is>
      </c>
      <c r="D90" s="325" t="n"/>
      <c r="E90" s="300" t="n"/>
      <c r="F90" s="289" t="n"/>
      <c r="G90" s="284">
        <f>D90-E90+F90</f>
        <v/>
      </c>
      <c r="H90" s="284" t="n"/>
    </row>
    <row r="91">
      <c r="A91" s="300" t="n"/>
      <c r="B91" s="300" t="n"/>
      <c r="C91" s="300" t="n"/>
      <c r="D91" s="300" t="n"/>
      <c r="E91" s="300" t="n"/>
      <c r="F91" s="289" t="n"/>
      <c r="G91" s="284">
        <f>D91-E91+F91</f>
        <v/>
      </c>
      <c r="H91" s="284" t="n"/>
    </row>
    <row r="92">
      <c r="A92" s="285" t="n">
        <v>720</v>
      </c>
      <c r="B92" s="286" t="n">
        <v>7201</v>
      </c>
      <c r="C92" s="206" t="inlineStr">
        <is>
          <t>ביטוחים</t>
        </is>
      </c>
      <c r="D92" s="299" t="n">
        <v>32716</v>
      </c>
      <c r="E92" s="300" t="n"/>
      <c r="F92" s="289" t="n"/>
      <c r="G92" s="284">
        <f>D92-E92+F92</f>
        <v/>
      </c>
      <c r="H92" s="284" t="n"/>
    </row>
    <row r="93">
      <c r="A93" s="300" t="n">
        <v>720</v>
      </c>
      <c r="B93" s="300" t="n">
        <v>7251</v>
      </c>
      <c r="C93" s="302" t="inlineStr">
        <is>
          <t>השתלמויות וקורסים</t>
        </is>
      </c>
      <c r="D93" s="170" t="n"/>
      <c r="E93" s="300" t="n"/>
      <c r="F93" s="289" t="n"/>
      <c r="G93" s="284">
        <f>D93-E93+F93</f>
        <v/>
      </c>
      <c r="H93" s="284" t="n"/>
    </row>
    <row r="94">
      <c r="A94" s="320" t="n">
        <v>720</v>
      </c>
      <c r="B94" s="321" t="n">
        <v>7207</v>
      </c>
      <c r="C94" s="164" t="inlineStr">
        <is>
          <t>בטיחות בעבודה</t>
        </is>
      </c>
      <c r="D94" s="325" t="n"/>
      <c r="E94" s="300" t="n"/>
      <c r="F94" s="289" t="n"/>
      <c r="G94" s="284">
        <f>D94-E94+F94</f>
        <v/>
      </c>
      <c r="H94" s="284" t="n"/>
    </row>
    <row r="95">
      <c r="A95" s="285" t="n">
        <v>720</v>
      </c>
      <c r="B95" s="286" t="n">
        <v>7221</v>
      </c>
      <c r="C95" s="206" t="inlineStr">
        <is>
          <t>בדיקות תקופתיות</t>
        </is>
      </c>
      <c r="D95" s="301" t="n">
        <v>2520</v>
      </c>
      <c r="E95" s="300" t="n"/>
      <c r="F95" s="289" t="n"/>
      <c r="G95" s="284">
        <f>D95-E95+F95</f>
        <v/>
      </c>
      <c r="H95" s="284" t="n"/>
    </row>
    <row r="96">
      <c r="A96" s="330" t="n">
        <v>730</v>
      </c>
      <c r="B96" s="331" t="n">
        <v>7300</v>
      </c>
      <c r="C96" s="216" t="inlineStr">
        <is>
          <t>אחזקה ותיקונים - ציוד</t>
        </is>
      </c>
      <c r="D96" s="335" t="n"/>
      <c r="E96" s="300" t="n"/>
      <c r="F96" s="289" t="n"/>
      <c r="G96" s="284">
        <f>D96-E96+F96</f>
        <v/>
      </c>
      <c r="H96" s="284">
        <f>SUM(G94:G96)</f>
        <v/>
      </c>
    </row>
    <row r="97">
      <c r="A97" s="294" t="n">
        <v>750</v>
      </c>
      <c r="B97" s="294" t="n">
        <v>7500</v>
      </c>
      <c r="C97" s="295" t="inlineStr">
        <is>
          <t>הוצאות פחת</t>
        </is>
      </c>
      <c r="D97" s="160" t="n"/>
      <c r="E97" s="294" t="n"/>
      <c r="F97" s="289" t="n">
        <v>12756</v>
      </c>
      <c r="G97" s="284">
        <f>D97-E97+F97</f>
        <v/>
      </c>
      <c r="H97" s="284" t="n"/>
    </row>
    <row r="98">
      <c r="A98" s="294" t="n"/>
      <c r="B98" s="294" t="n"/>
      <c r="C98" s="295" t="n"/>
      <c r="D98" s="160" t="n"/>
      <c r="E98" s="294" t="n"/>
      <c r="F98" s="289" t="n"/>
      <c r="G98" s="284">
        <f>D98-E98+F98</f>
        <v/>
      </c>
      <c r="H98" s="284" t="n"/>
    </row>
    <row r="99">
      <c r="A99" s="285" t="n">
        <v>760</v>
      </c>
      <c r="B99" s="286" t="n">
        <v>7600</v>
      </c>
      <c r="C99" s="206" t="inlineStr">
        <is>
          <t>24-388-73  יונדאי דלק    (10.2016)</t>
        </is>
      </c>
      <c r="D99" s="299" t="n">
        <v>23126.87</v>
      </c>
      <c r="E99" s="294" t="n"/>
      <c r="F99" s="289" t="n"/>
      <c r="G99" s="284">
        <f>D99-E99+F99</f>
        <v/>
      </c>
      <c r="H99" s="284" t="n"/>
    </row>
    <row r="100">
      <c r="A100" s="285" t="n">
        <v>760</v>
      </c>
      <c r="B100" s="286" t="n">
        <v>7601</v>
      </c>
      <c r="C100" s="206" t="inlineStr">
        <is>
          <t>24-388-73  יונדאי הוצ שוטפות    (10.2016)</t>
        </is>
      </c>
      <c r="D100" s="301" t="n">
        <v>2577.63</v>
      </c>
      <c r="E100" s="294" t="n"/>
      <c r="F100" s="289" t="n"/>
      <c r="G100" s="284">
        <f>D100-E100+F100</f>
        <v/>
      </c>
      <c r="H100" s="284" t="n"/>
    </row>
    <row r="101">
      <c r="A101" s="285" t="n">
        <v>760</v>
      </c>
      <c r="B101" s="286" t="n">
        <v>7602</v>
      </c>
      <c r="C101" s="206" t="inlineStr">
        <is>
          <t>24-388-73  יונדאי ביטוחים    (10.2016)</t>
        </is>
      </c>
      <c r="D101" s="301" t="n">
        <v>4142</v>
      </c>
      <c r="E101" s="294" t="n"/>
      <c r="F101" s="289" t="n"/>
      <c r="G101" s="284">
        <f>D101-E101+F101</f>
        <v/>
      </c>
      <c r="H101" s="284">
        <f>SUM(G99:G101)</f>
        <v/>
      </c>
    </row>
    <row r="102">
      <c r="A102" s="300" t="n"/>
      <c r="B102" s="300" t="n"/>
      <c r="C102" s="302" t="n"/>
      <c r="D102" s="170" t="n"/>
      <c r="E102" s="300" t="n"/>
      <c r="F102" s="289" t="n"/>
      <c r="G102" s="284">
        <f>D102-E102+F102</f>
        <v/>
      </c>
      <c r="H102" s="284" t="n"/>
    </row>
    <row r="103">
      <c r="A103" s="285" t="n">
        <v>720</v>
      </c>
      <c r="B103" s="286" t="n">
        <v>7455</v>
      </c>
      <c r="C103" s="206" t="inlineStr">
        <is>
          <t>הוצאות דיבידנד</t>
        </is>
      </c>
      <c r="D103" s="287" t="n">
        <v>285714</v>
      </c>
      <c r="E103" s="300" t="n"/>
      <c r="F103" s="289" t="n"/>
      <c r="G103" s="284">
        <f>D103-E103+F103</f>
        <v/>
      </c>
      <c r="H103" s="284" t="n"/>
    </row>
    <row r="104">
      <c r="A104" s="300" t="n"/>
      <c r="B104" s="300" t="n"/>
      <c r="C104" s="302" t="inlineStr">
        <is>
          <t>הפסד הון</t>
        </is>
      </c>
      <c r="D104" s="170" t="n"/>
      <c r="E104" s="300" t="n"/>
      <c r="F104" s="289" t="n"/>
      <c r="G104" s="284">
        <f>D104-E104+F104</f>
        <v/>
      </c>
      <c r="H104" s="284" t="n"/>
    </row>
    <row r="105">
      <c r="A105" s="300" t="n"/>
      <c r="B105" s="300" t="n"/>
      <c r="C105" s="302" t="n"/>
      <c r="D105" s="170" t="n"/>
      <c r="E105" s="300" t="n"/>
      <c r="F105" s="289" t="n"/>
      <c r="G105" s="284" t="n"/>
      <c r="H105" s="284" t="n"/>
    </row>
    <row r="106">
      <c r="A106" s="285" t="n">
        <v>790</v>
      </c>
      <c r="B106" s="286" t="n">
        <v>7900</v>
      </c>
      <c r="C106" s="206" t="inlineStr">
        <is>
          <t>ריבית ועמלות בנק</t>
        </is>
      </c>
      <c r="D106" s="301" t="n">
        <v>2233.41</v>
      </c>
      <c r="E106" s="208" t="n"/>
      <c r="F106" s="289" t="n"/>
      <c r="G106" s="284">
        <f>D106-E106+F106</f>
        <v/>
      </c>
      <c r="H106" s="284" t="n"/>
    </row>
    <row r="107">
      <c r="A107" s="285" t="n">
        <v>790</v>
      </c>
      <c r="B107" s="286" t="n">
        <v>7940</v>
      </c>
      <c r="C107" s="206" t="inlineStr">
        <is>
          <t>ריבית מוסדות</t>
        </is>
      </c>
      <c r="D107" s="208" t="n"/>
      <c r="E107" s="301" t="n">
        <v>2706</v>
      </c>
      <c r="F107" s="289" t="n"/>
      <c r="G107" s="284">
        <f>D107-E107+F107</f>
        <v/>
      </c>
      <c r="H107" s="284" t="n"/>
    </row>
    <row r="108">
      <c r="A108" s="285" t="n">
        <v>790</v>
      </c>
      <c r="B108" s="286" t="n">
        <v>7950</v>
      </c>
      <c r="C108" s="206" t="inlineStr">
        <is>
          <t>ריבית פקדון</t>
        </is>
      </c>
      <c r="D108" s="208" t="n"/>
      <c r="E108" s="324" t="n">
        <v>88</v>
      </c>
      <c r="F108" s="289" t="n"/>
      <c r="G108" s="284">
        <f>D108-E108+F108</f>
        <v/>
      </c>
      <c r="H108" s="284" t="n"/>
    </row>
    <row r="109">
      <c r="A109" s="285" t="n">
        <v>790</v>
      </c>
      <c r="B109" s="286" t="n">
        <v>7999</v>
      </c>
      <c r="C109" s="206" t="inlineStr">
        <is>
          <t>ביטול ייתרות</t>
        </is>
      </c>
      <c r="D109" s="324" t="n">
        <v>20.8</v>
      </c>
      <c r="E109" s="208" t="n"/>
      <c r="F109" s="289" t="n">
        <v>44.58</v>
      </c>
      <c r="G109" s="284">
        <f>D109-E109+F109</f>
        <v/>
      </c>
      <c r="H109" s="284" t="n"/>
    </row>
    <row r="110">
      <c r="A110" s="320" t="n"/>
      <c r="B110" s="321" t="n"/>
      <c r="C110" s="164" t="n"/>
      <c r="D110" s="327" t="n"/>
      <c r="E110" s="300" t="n"/>
      <c r="F110" s="289" t="n"/>
      <c r="G110" s="284">
        <f>D110-E110+F110</f>
        <v/>
      </c>
      <c r="H110" s="284">
        <f>SUM(G106:G109)</f>
        <v/>
      </c>
    </row>
    <row r="111">
      <c r="A111" s="320" t="n"/>
      <c r="B111" s="321" t="n"/>
      <c r="C111" s="164" t="n"/>
      <c r="D111" s="327" t="n"/>
      <c r="E111" s="165" t="n"/>
      <c r="F111" s="296" t="n"/>
      <c r="G111" s="284">
        <f>D111-E111+F111</f>
        <v/>
      </c>
      <c r="H111" s="283" t="n"/>
    </row>
    <row r="112">
      <c r="A112" s="328" t="n"/>
      <c r="B112" s="328" t="n"/>
      <c r="C112" s="329" t="n"/>
      <c r="D112" s="328">
        <f>SUM(D3:D110)</f>
        <v/>
      </c>
      <c r="E112" s="328">
        <f>SUM(E5:E110)</f>
        <v/>
      </c>
      <c r="F112" s="328">
        <f>SUM(F4:F111)</f>
        <v/>
      </c>
      <c r="G112" s="328">
        <f>SUM(G4:G111)</f>
        <v/>
      </c>
      <c r="H112" s="283" t="n"/>
    </row>
    <row r="113">
      <c r="A113" s="296" t="n"/>
      <c r="B113" s="296" t="n"/>
      <c r="C113" s="296" t="n"/>
      <c r="D113" s="296" t="n"/>
      <c r="E113" s="296" t="n"/>
      <c r="F113" s="296" t="n"/>
      <c r="G113" s="296" t="n"/>
    </row>
    <row r="114">
      <c r="A114" s="296" t="n"/>
      <c r="B114" s="296" t="n"/>
      <c r="C114" s="296" t="n"/>
      <c r="D114" s="296" t="n"/>
      <c r="E114" s="296" t="n"/>
      <c r="F114" s="296" t="n"/>
      <c r="G114" s="296" t="n"/>
    </row>
    <row r="115">
      <c r="A115" s="296" t="n"/>
      <c r="B115" s="296" t="n"/>
      <c r="C115" s="296" t="n"/>
      <c r="D115" s="296" t="n"/>
      <c r="E115" s="296" t="n"/>
      <c r="F115" s="296" t="n"/>
      <c r="G115" s="296" t="n"/>
    </row>
    <row r="116">
      <c r="A116" s="296" t="n"/>
      <c r="B116" s="296" t="n"/>
      <c r="C116" s="296" t="n"/>
      <c r="D116" s="296" t="n"/>
      <c r="E116" s="296" t="n"/>
      <c r="F116" s="296" t="n"/>
      <c r="G116" s="296"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G133" s="298" t="n"/>
    </row>
    <row r="134">
      <c r="G134" s="298" t="n"/>
    </row>
    <row r="135">
      <c r="G135" s="298" t="n"/>
    </row>
    <row r="136">
      <c r="G136" s="298"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00"/>
  <sheetViews>
    <sheetView rightToLeft="1" topLeftCell="A71" workbookViewId="0">
      <selection activeCell="B94" sqref="B94:F96"/>
    </sheetView>
  </sheetViews>
  <sheetFormatPr baseColWidth="10" defaultColWidth="8.796875" defaultRowHeight="16"/>
  <cols>
    <col width="13.796875" customWidth="1" style="304" min="1" max="1"/>
    <col collapsed="1" width="10" customWidth="1" style="304" min="2" max="2"/>
    <col width="16.59765625" customWidth="1" style="304" min="3" max="3"/>
    <col width="29.19921875" bestFit="1" customWidth="1" style="304" min="4" max="4"/>
    <col width="15.796875" customWidth="1" style="304" min="5" max="5"/>
    <col width="16.19921875" customWidth="1" style="304" min="6" max="6"/>
    <col width="17.19921875" customWidth="1" style="304" min="7" max="7"/>
    <col width="8.796875" customWidth="1" style="304" min="8" max="16384"/>
  </cols>
  <sheetData>
    <row r="1" ht="14.5" customHeight="1" s="282">
      <c r="A1" s="185" t="inlineStr">
        <is>
          <t>מירון ראובן עבודות ציבוריות בע"מ                                  ע.מ. 513831529</t>
        </is>
      </c>
    </row>
    <row r="2" ht="19" customHeight="1" s="282">
      <c r="A2" s="187" t="inlineStr">
        <is>
          <t>מאזן בוחן</t>
        </is>
      </c>
      <c r="G2" s="186" t="inlineStr">
        <is>
          <t>08/05/2025 14:25:15</t>
        </is>
      </c>
    </row>
    <row r="3" ht="12" customHeight="1" s="282">
      <c r="A3" s="189" t="inlineStr">
        <is>
          <t>ת.אסמכתא בין 31/12/23-01/01/80 ת.ערך בין 31/12/29-01/01/80 ת.נוסף 3 בין 31/12/29-01/01/80</t>
        </is>
      </c>
    </row>
    <row r="4" ht="14" customHeight="1" s="282">
      <c r="B4" s="190" t="inlineStr">
        <is>
          <t>מיון</t>
        </is>
      </c>
      <c r="C4" s="190" t="inlineStr">
        <is>
          <t>חשבון</t>
        </is>
      </c>
      <c r="D4" s="190" t="inlineStr">
        <is>
          <t>שם חשבון</t>
        </is>
      </c>
      <c r="E4" s="190" t="inlineStr">
        <is>
          <t>חובה</t>
        </is>
      </c>
      <c r="F4" s="190" t="inlineStr">
        <is>
          <t>זכות</t>
        </is>
      </c>
      <c r="G4" s="190" t="inlineStr">
        <is>
          <t>הפרש</t>
        </is>
      </c>
    </row>
    <row r="5" ht="15" customHeight="1" s="282">
      <c r="A5" s="191" t="inlineStr">
        <is>
          <t>אשראי לז"ק</t>
        </is>
      </c>
    </row>
    <row r="6" ht="12" customHeight="1" s="282">
      <c r="B6" s="357" t="n">
        <v>110</v>
      </c>
      <c r="C6" s="358" t="n">
        <v>633</v>
      </c>
      <c r="D6" s="241" t="inlineStr">
        <is>
          <t>633  ישראכרט  עסקי</t>
        </is>
      </c>
      <c r="E6" s="359" t="n"/>
      <c r="F6" s="360" t="n">
        <v>3564.29</v>
      </c>
    </row>
    <row r="7" ht="12" customHeight="1" s="282">
      <c r="B7" s="357" t="n">
        <v>110</v>
      </c>
      <c r="C7" s="361" t="n">
        <v>1030</v>
      </c>
      <c r="D7" s="241" t="inlineStr">
        <is>
          <t>פקדון</t>
        </is>
      </c>
      <c r="E7" s="362" t="n">
        <v>41812.86</v>
      </c>
    </row>
    <row r="8" ht="12" customHeight="1" s="282">
      <c r="B8" s="357" t="n">
        <v>110</v>
      </c>
      <c r="C8" s="361" t="n">
        <v>1100</v>
      </c>
      <c r="D8" s="241" t="inlineStr">
        <is>
          <t>בנק הפועלים בע"מ</t>
        </is>
      </c>
      <c r="E8" s="363" t="n">
        <v>945729.3199999999</v>
      </c>
    </row>
    <row r="9" ht="12" customHeight="1" s="282">
      <c r="A9" s="229" t="inlineStr">
        <is>
          <t>סה"כ לקבוצה:</t>
        </is>
      </c>
      <c r="B9" s="341" t="n">
        <v>110</v>
      </c>
      <c r="E9" s="347" t="n">
        <v>987542.1800000001</v>
      </c>
      <c r="F9" s="343" t="n">
        <v>3564.29</v>
      </c>
      <c r="G9" s="349" t="n">
        <v>-983977.89</v>
      </c>
    </row>
    <row r="10" ht="15" customHeight="1" s="282">
      <c r="A10" s="191" t="inlineStr">
        <is>
          <t>לקוחות</t>
        </is>
      </c>
    </row>
    <row r="11" ht="12" customHeight="1" s="282">
      <c r="B11" s="357" t="n">
        <v>200</v>
      </c>
      <c r="C11" s="361" t="n">
        <v>2040</v>
      </c>
      <c r="D11" s="241" t="inlineStr">
        <is>
          <t>חברת החשמל לישראל בע"מ</t>
        </is>
      </c>
      <c r="E11" s="362" t="n">
        <v>43913</v>
      </c>
    </row>
    <row r="12" ht="12" customHeight="1" s="282">
      <c r="B12" s="357" t="n">
        <v>200</v>
      </c>
      <c r="C12" s="361" t="n">
        <v>2080</v>
      </c>
      <c r="D12" s="241" t="inlineStr">
        <is>
          <t>החברה הלאומית לאספקת פחם בע"מ</t>
        </is>
      </c>
      <c r="E12" s="363" t="n">
        <v>196560</v>
      </c>
    </row>
    <row r="13" ht="12" customHeight="1" s="282">
      <c r="A13" s="229" t="inlineStr">
        <is>
          <t>סה"כ לקבוצה:</t>
        </is>
      </c>
      <c r="B13" s="341" t="n">
        <v>200</v>
      </c>
      <c r="E13" s="347" t="n">
        <v>240473</v>
      </c>
      <c r="F13" s="201" t="n">
        <v>0</v>
      </c>
      <c r="G13" s="349" t="n">
        <v>-240473</v>
      </c>
    </row>
    <row r="14" ht="15" customHeight="1" s="282">
      <c r="A14" s="191" t="inlineStr">
        <is>
          <t>פקיד שומה</t>
        </is>
      </c>
    </row>
    <row r="15" ht="12" customHeight="1" s="282">
      <c r="B15" s="357" t="n">
        <v>270</v>
      </c>
      <c r="C15" s="361" t="n">
        <v>2700</v>
      </c>
      <c r="D15" s="241" t="inlineStr">
        <is>
          <t>נכוי במקור - לקוחות</t>
        </is>
      </c>
      <c r="E15" s="363" t="n">
        <v>115686.68</v>
      </c>
    </row>
    <row r="16" ht="12" customHeight="1" s="282">
      <c r="B16" s="357" t="n">
        <v>270</v>
      </c>
      <c r="C16" s="361" t="n">
        <v>2744</v>
      </c>
      <c r="D16" s="241" t="inlineStr">
        <is>
          <t>מס הכנסה שנים קודמות</t>
        </is>
      </c>
      <c r="E16" s="360" t="n">
        <v>4096.53</v>
      </c>
    </row>
    <row r="17" ht="12" customHeight="1" s="282">
      <c r="B17" s="357" t="n">
        <v>270</v>
      </c>
      <c r="C17" s="361" t="n">
        <v>2745</v>
      </c>
      <c r="D17" s="241" t="inlineStr">
        <is>
          <t>מס הכנסה מקדמות</t>
        </is>
      </c>
      <c r="E17" s="363" t="n">
        <v>115321</v>
      </c>
    </row>
    <row r="18" ht="12" customHeight="1" s="282">
      <c r="A18" s="229" t="inlineStr">
        <is>
          <t>סה"כ לקבוצה:</t>
        </is>
      </c>
      <c r="B18" s="341" t="n">
        <v>270</v>
      </c>
      <c r="E18" s="347" t="n">
        <v>235104.21</v>
      </c>
      <c r="F18" s="201" t="n">
        <v>0</v>
      </c>
      <c r="G18" s="349" t="n">
        <v>-235104.21</v>
      </c>
    </row>
    <row r="19" ht="12" customHeight="1" s="282">
      <c r="B19" s="357" t="n">
        <v>280</v>
      </c>
      <c r="C19" s="361" t="n">
        <v>2800</v>
      </c>
      <c r="D19" s="241" t="inlineStr">
        <is>
          <t>רכוש קבוע</t>
        </is>
      </c>
      <c r="E19" s="363" t="n">
        <v>122815.76</v>
      </c>
      <c r="F19" s="359" t="n"/>
    </row>
    <row r="20" ht="12" customHeight="1" s="282">
      <c r="B20" s="357" t="n">
        <v>280</v>
      </c>
      <c r="C20" s="361" t="n">
        <v>2850</v>
      </c>
      <c r="D20" s="241" t="inlineStr">
        <is>
          <t>פחת נצבר</t>
        </is>
      </c>
      <c r="E20" s="359" t="n"/>
      <c r="F20" s="362" t="n">
        <v>96157</v>
      </c>
    </row>
    <row r="21" ht="12" customHeight="1" s="282">
      <c r="A21" s="229" t="inlineStr">
        <is>
          <t>סה"כ לקבוצה:</t>
        </is>
      </c>
      <c r="B21" s="341" t="n">
        <v>280</v>
      </c>
      <c r="E21" s="347" t="n">
        <v>122815.76</v>
      </c>
      <c r="F21" s="348" t="n">
        <v>96157</v>
      </c>
      <c r="G21" s="350" t="n">
        <v>-26658.76</v>
      </c>
    </row>
    <row r="22" ht="12" customHeight="1" s="282">
      <c r="A22" s="229" t="inlineStr">
        <is>
          <t>סה"כ לקבוצה:</t>
        </is>
      </c>
      <c r="B22" s="229" t="inlineStr">
        <is>
          <t>2**</t>
        </is>
      </c>
      <c r="E22" s="347" t="n">
        <v>598392.97</v>
      </c>
      <c r="F22" s="348" t="n">
        <v>96157</v>
      </c>
      <c r="G22" s="349" t="n">
        <v>-502235.97</v>
      </c>
    </row>
    <row r="23" ht="15" customHeight="1" s="282">
      <c r="A23" s="191" t="inlineStr">
        <is>
          <t>ספקים</t>
        </is>
      </c>
    </row>
    <row r="24" ht="12" customHeight="1" s="282">
      <c r="B24" s="357" t="n">
        <v>300</v>
      </c>
      <c r="C24" s="361" t="n">
        <v>3004</v>
      </c>
      <c r="D24" s="241" t="inlineStr">
        <is>
          <t>גבס השרון בע"מ</t>
        </is>
      </c>
      <c r="E24" s="359" t="n"/>
      <c r="F24" s="360" t="n">
        <v>2917</v>
      </c>
    </row>
    <row r="25" ht="12" customHeight="1" s="282">
      <c r="B25" s="357" t="n">
        <v>300</v>
      </c>
      <c r="C25" s="361" t="n">
        <v>3105</v>
      </c>
      <c r="D25" s="241" t="inlineStr">
        <is>
          <t>אברהם קראדי ובניו בע"מ</t>
        </is>
      </c>
      <c r="E25" s="362" t="n">
        <v>21000</v>
      </c>
      <c r="F25" s="359" t="n"/>
    </row>
    <row r="26" ht="12" customHeight="1" s="282">
      <c r="B26" s="357" t="n">
        <v>300</v>
      </c>
      <c r="C26" s="361" t="n">
        <v>3241</v>
      </c>
      <c r="D26" s="241" t="inlineStr">
        <is>
          <t>אורלי - משאבי אנרגיה בע"מ</t>
        </is>
      </c>
      <c r="E26" s="359" t="n"/>
      <c r="F26" s="364" t="n">
        <v>972</v>
      </c>
    </row>
    <row r="27" ht="12" customHeight="1" s="282">
      <c r="B27" s="357" t="n">
        <v>300</v>
      </c>
      <c r="C27" s="361" t="n">
        <v>3712</v>
      </c>
      <c r="D27" s="241" t="inlineStr">
        <is>
          <t>ראובן נסים</t>
        </is>
      </c>
      <c r="E27" s="359" t="n"/>
      <c r="F27" s="360" t="n">
        <v>6300</v>
      </c>
    </row>
    <row r="28" ht="12" customHeight="1" s="282">
      <c r="A28" s="229" t="inlineStr">
        <is>
          <t>סה"כ לקבוצה:</t>
        </is>
      </c>
      <c r="B28" s="341" t="n">
        <v>300</v>
      </c>
      <c r="E28" s="348" t="n">
        <v>21000</v>
      </c>
      <c r="F28" s="348" t="n">
        <v>10189</v>
      </c>
      <c r="G28" s="350" t="n">
        <v>-10811</v>
      </c>
    </row>
    <row r="29" ht="12" customHeight="1" s="282">
      <c r="B29" s="357" t="n">
        <v>351</v>
      </c>
      <c r="C29" s="358" t="n">
        <v>162</v>
      </c>
      <c r="D29" s="241" t="inlineStr">
        <is>
          <t>מגדל מקפת אישית</t>
        </is>
      </c>
      <c r="E29" s="359" t="n"/>
      <c r="F29" s="360" t="n">
        <v>2971</v>
      </c>
    </row>
    <row r="30" ht="12" customHeight="1" s="282">
      <c r="B30" s="357" t="n">
        <v>351</v>
      </c>
      <c r="C30" s="358" t="n">
        <v>214</v>
      </c>
      <c r="D30" s="241" t="inlineStr">
        <is>
          <t>הראל פנסיה</t>
        </is>
      </c>
      <c r="E30" s="359" t="n"/>
      <c r="F30" s="360" t="n">
        <v>2330</v>
      </c>
    </row>
    <row r="31" ht="12" customHeight="1" s="282">
      <c r="B31" s="357" t="n">
        <v>351</v>
      </c>
      <c r="C31" s="361" t="n">
        <v>3640</v>
      </c>
      <c r="D31" s="241" t="inlineStr">
        <is>
          <t>הפניקס קרן פנסיה</t>
        </is>
      </c>
      <c r="E31" s="359" t="n"/>
      <c r="F31" s="362" t="n">
        <v>13789</v>
      </c>
    </row>
    <row r="32" ht="12" customHeight="1" s="282">
      <c r="A32" s="229" t="inlineStr">
        <is>
          <t>סה"כ לקבוצה:</t>
        </is>
      </c>
      <c r="B32" s="341" t="n">
        <v>351</v>
      </c>
      <c r="E32" s="201" t="n">
        <v>0</v>
      </c>
      <c r="F32" s="348" t="n">
        <v>19090</v>
      </c>
      <c r="G32" s="348" t="n">
        <v>19090</v>
      </c>
    </row>
    <row r="33" ht="15" customHeight="1" s="282">
      <c r="A33" s="191" t="inlineStr">
        <is>
          <t>חוז</t>
        </is>
      </c>
    </row>
    <row r="34" ht="12" customHeight="1" s="282">
      <c r="B34" s="357" t="n">
        <v>360</v>
      </c>
      <c r="C34" s="361" t="n">
        <v>3600</v>
      </c>
      <c r="D34" s="241" t="inlineStr">
        <is>
          <t>מס הכנסה ניכויים</t>
        </is>
      </c>
      <c r="E34" s="359" t="n"/>
      <c r="F34" s="362" t="n">
        <v>18290.56</v>
      </c>
    </row>
    <row r="35" ht="12" customHeight="1" s="282">
      <c r="B35" s="357" t="n">
        <v>360</v>
      </c>
      <c r="C35" s="361" t="n">
        <v>3610</v>
      </c>
      <c r="D35" s="241" t="inlineStr">
        <is>
          <t>ביטוח לאומי ניכויים</t>
        </is>
      </c>
      <c r="E35" s="359" t="n"/>
      <c r="F35" s="360" t="n">
        <v>8395</v>
      </c>
    </row>
    <row r="36" ht="12" customHeight="1" s="282">
      <c r="A36" s="229" t="inlineStr">
        <is>
          <t>סה"כ לקבוצה:</t>
        </is>
      </c>
      <c r="B36" s="341" t="n">
        <v>360</v>
      </c>
      <c r="E36" s="201" t="n">
        <v>0</v>
      </c>
      <c r="F36" s="348" t="n">
        <v>26685.56</v>
      </c>
      <c r="G36" s="348" t="n">
        <v>26685.56</v>
      </c>
    </row>
    <row r="37" ht="15" customHeight="1" s="282">
      <c r="A37" s="191" t="inlineStr">
        <is>
          <t>עובדים</t>
        </is>
      </c>
    </row>
    <row r="38" ht="12" customHeight="1" s="282">
      <c r="B38" s="357" t="n">
        <v>370</v>
      </c>
      <c r="C38" s="361" t="n">
        <v>3707</v>
      </c>
      <c r="D38" s="241" t="inlineStr">
        <is>
          <t>ראובן לוסי</t>
        </is>
      </c>
      <c r="E38" s="359" t="n"/>
      <c r="F38" s="364" t="n">
        <v>300</v>
      </c>
    </row>
    <row r="39" ht="12" customHeight="1" s="282">
      <c r="B39" s="357" t="n">
        <v>370</v>
      </c>
      <c r="C39" s="361" t="n">
        <v>3733</v>
      </c>
      <c r="D39" s="241" t="inlineStr">
        <is>
          <t>אלעד ראובן</t>
        </is>
      </c>
      <c r="E39" s="359" t="n"/>
      <c r="F39" s="362" t="n">
        <v>11700</v>
      </c>
    </row>
    <row r="40" ht="12" customHeight="1" s="282">
      <c r="B40" s="357" t="n">
        <v>370</v>
      </c>
      <c r="C40" s="361" t="n">
        <v>3734</v>
      </c>
      <c r="D40" s="241" t="inlineStr">
        <is>
          <t>אגבייב רומן</t>
        </is>
      </c>
      <c r="E40" s="359" t="n"/>
      <c r="F40" s="360" t="n">
        <v>8000</v>
      </c>
    </row>
    <row r="41" ht="12" customHeight="1" s="282">
      <c r="B41" s="357" t="n">
        <v>370</v>
      </c>
      <c r="C41" s="361" t="n">
        <v>3740</v>
      </c>
      <c r="D41" s="241" t="inlineStr">
        <is>
          <t>ראובן חנה</t>
        </is>
      </c>
      <c r="E41" s="359" t="n"/>
      <c r="F41" s="362" t="n">
        <v>10000</v>
      </c>
    </row>
    <row r="42" ht="12" customHeight="1" s="282">
      <c r="B42" s="357" t="n">
        <v>370</v>
      </c>
      <c r="C42" s="361" t="n">
        <v>3741</v>
      </c>
      <c r="D42" s="241" t="inlineStr">
        <is>
          <t>ראובן יוסי</t>
        </is>
      </c>
      <c r="E42" s="360" t="n">
        <v>5000</v>
      </c>
      <c r="F42" s="359" t="n"/>
    </row>
    <row r="43" ht="12" customHeight="1" s="282">
      <c r="B43" s="357" t="n">
        <v>370</v>
      </c>
      <c r="C43" s="361" t="n">
        <v>3742</v>
      </c>
      <c r="D43" s="241" t="inlineStr">
        <is>
          <t>תמיר אחרק</t>
        </is>
      </c>
      <c r="E43" s="359" t="n"/>
      <c r="F43" s="360" t="n">
        <v>9100</v>
      </c>
    </row>
    <row r="44" ht="12" customHeight="1" s="282">
      <c r="B44" s="357" t="n">
        <v>370</v>
      </c>
      <c r="C44" s="361" t="n">
        <v>3747</v>
      </c>
      <c r="D44" s="241" t="inlineStr">
        <is>
          <t>דניאל רטנר</t>
        </is>
      </c>
      <c r="E44" s="359" t="n"/>
      <c r="F44" s="362" t="n">
        <v>11798</v>
      </c>
    </row>
    <row r="45" ht="12" customHeight="1" s="282">
      <c r="A45" s="229" t="inlineStr">
        <is>
          <t>סה"כ לקבוצה:</t>
        </is>
      </c>
      <c r="B45" s="341" t="n">
        <v>370</v>
      </c>
      <c r="E45" s="343" t="n">
        <v>5000</v>
      </c>
      <c r="F45" s="348" t="n">
        <v>50898</v>
      </c>
      <c r="G45" s="348" t="n">
        <v>45898</v>
      </c>
    </row>
    <row r="46" ht="12" customHeight="1" s="282">
      <c r="A46" s="229" t="inlineStr">
        <is>
          <t>סה"כ לקבוצה:</t>
        </is>
      </c>
      <c r="B46" s="229" t="inlineStr">
        <is>
          <t>3**</t>
        </is>
      </c>
      <c r="E46" s="348" t="n">
        <v>26000</v>
      </c>
      <c r="F46" s="347" t="n">
        <v>106862.56</v>
      </c>
      <c r="G46" s="348" t="n">
        <v>80862.56</v>
      </c>
    </row>
    <row r="47" ht="12" customHeight="1" s="282">
      <c r="B47" s="341" t="n">
        <v>400</v>
      </c>
      <c r="C47" s="342" t="n">
        <v>4000</v>
      </c>
      <c r="D47" s="229" t="inlineStr">
        <is>
          <t>הון מניות</t>
        </is>
      </c>
      <c r="F47" s="351" t="n">
        <v>100</v>
      </c>
    </row>
    <row r="48" ht="12" customHeight="1" s="282">
      <c r="B48" s="357" t="n">
        <v>450</v>
      </c>
      <c r="C48" s="361" t="n">
        <v>4500</v>
      </c>
      <c r="D48" s="241" t="inlineStr">
        <is>
          <t>חשבון רווח/הפסד</t>
        </is>
      </c>
      <c r="E48" s="359" t="n"/>
      <c r="F48" s="363" t="n">
        <v>947511.87</v>
      </c>
    </row>
    <row r="49" ht="12" customHeight="1" s="282">
      <c r="A49" s="229" t="inlineStr">
        <is>
          <t>סה"כ לקבוצה:</t>
        </is>
      </c>
      <c r="B49" s="229" t="inlineStr">
        <is>
          <t>4**</t>
        </is>
      </c>
      <c r="E49" s="201" t="n">
        <v>0</v>
      </c>
      <c r="F49" s="347" t="n">
        <v>947611.87</v>
      </c>
      <c r="G49" s="347" t="n">
        <v>947611.87</v>
      </c>
    </row>
    <row r="50" ht="15" customHeight="1" s="282">
      <c r="A50" s="191" t="inlineStr">
        <is>
          <t>אגף המכס והבלו</t>
        </is>
      </c>
    </row>
    <row r="51" ht="12" customHeight="1" s="282">
      <c r="B51" s="357" t="n">
        <v>500</v>
      </c>
      <c r="C51" s="361" t="n">
        <v>5000</v>
      </c>
      <c r="D51" s="241" t="inlineStr">
        <is>
          <t>מעמ תשומות</t>
        </is>
      </c>
      <c r="E51" s="364" t="n">
        <v>523.63</v>
      </c>
      <c r="F51" s="359" t="n"/>
    </row>
    <row r="52" ht="12" customHeight="1" s="282">
      <c r="B52" s="357" t="n">
        <v>500</v>
      </c>
      <c r="C52" s="361" t="n">
        <v>5040</v>
      </c>
      <c r="D52" s="241" t="inlineStr">
        <is>
          <t>חוז מעמ</t>
        </is>
      </c>
      <c r="E52" s="359" t="n"/>
      <c r="F52" s="362" t="n">
        <v>52211</v>
      </c>
    </row>
    <row r="53" ht="12" customHeight="1" s="282">
      <c r="A53" s="229" t="inlineStr">
        <is>
          <t>סה"כ לקבוצה:</t>
        </is>
      </c>
      <c r="B53" s="341" t="n">
        <v>500</v>
      </c>
      <c r="E53" s="351" t="n">
        <v>523.63</v>
      </c>
      <c r="F53" s="348" t="n">
        <v>52211</v>
      </c>
      <c r="G53" s="348" t="n">
        <v>51687.37</v>
      </c>
    </row>
    <row r="54" ht="15" customHeight="1" s="282">
      <c r="A54" s="191" t="inlineStr">
        <is>
          <t>בעלי מניות</t>
        </is>
      </c>
    </row>
    <row r="55" ht="12" customHeight="1" s="282">
      <c r="B55" s="357" t="n">
        <v>510</v>
      </c>
      <c r="C55" s="361" t="n">
        <v>5100</v>
      </c>
      <c r="D55" s="241" t="inlineStr">
        <is>
          <t>ראובן מירון</t>
        </is>
      </c>
      <c r="E55" s="359" t="n"/>
      <c r="F55" s="362" t="n">
        <v>10745.18</v>
      </c>
    </row>
    <row r="56" ht="12" customHeight="1" s="282">
      <c r="A56" s="229" t="inlineStr">
        <is>
          <t>סה"כ לקבוצה:</t>
        </is>
      </c>
      <c r="B56" s="229" t="inlineStr">
        <is>
          <t>5**</t>
        </is>
      </c>
      <c r="E56" s="351" t="n">
        <v>523.63</v>
      </c>
      <c r="F56" s="348" t="n">
        <v>62956.18</v>
      </c>
      <c r="G56" s="348" t="n">
        <v>62432.55</v>
      </c>
    </row>
    <row r="57" ht="15" customHeight="1" s="282">
      <c r="A57" s="191" t="inlineStr">
        <is>
          <t>הכנסות</t>
        </is>
      </c>
    </row>
    <row r="58" ht="12" customHeight="1" s="282">
      <c r="B58" s="357" t="n">
        <v>600</v>
      </c>
      <c r="C58" s="361" t="n">
        <v>6000</v>
      </c>
      <c r="D58" s="241" t="inlineStr">
        <is>
          <t>הכנסות</t>
        </is>
      </c>
      <c r="E58" s="359" t="n"/>
      <c r="F58" s="365" t="n">
        <v>1997417.09</v>
      </c>
    </row>
    <row r="59" ht="12" customHeight="1" s="282">
      <c r="B59" s="357" t="n">
        <v>600</v>
      </c>
      <c r="C59" s="361" t="n">
        <v>6008</v>
      </c>
      <c r="D59" s="241" t="inlineStr">
        <is>
          <t>הכנסות מניקוי אוניות פחם - חברת החשמל</t>
        </is>
      </c>
      <c r="E59" s="359" t="n"/>
      <c r="F59" s="363" t="n">
        <v>452970.08</v>
      </c>
    </row>
    <row r="60" ht="12" customHeight="1" s="282">
      <c r="A60" s="229" t="inlineStr">
        <is>
          <t>סה"כ לקבוצה:</t>
        </is>
      </c>
      <c r="B60" s="341" t="n">
        <v>600</v>
      </c>
      <c r="E60" s="201" t="n">
        <v>0</v>
      </c>
      <c r="F60" s="353" t="n">
        <v>2450387.17</v>
      </c>
      <c r="G60" s="353" t="n">
        <v>2450387.17</v>
      </c>
    </row>
    <row r="61" ht="15" customHeight="1" s="282">
      <c r="A61" s="191" t="inlineStr">
        <is>
          <t>קניות</t>
        </is>
      </c>
    </row>
    <row r="62" ht="12" customHeight="1" s="282">
      <c r="B62" s="357" t="n">
        <v>650</v>
      </c>
      <c r="C62" s="361" t="n">
        <v>6400</v>
      </c>
      <c r="D62" s="241" t="inlineStr">
        <is>
          <t>מלאי פתיחה רווח והפסד</t>
        </is>
      </c>
      <c r="E62" s="362" t="n">
        <v>65797</v>
      </c>
    </row>
    <row r="63" ht="12" customHeight="1" s="282">
      <c r="B63" s="357" t="n">
        <v>650</v>
      </c>
      <c r="C63" s="361" t="n">
        <v>6500</v>
      </c>
      <c r="D63" s="241" t="inlineStr">
        <is>
          <t>קניות</t>
        </is>
      </c>
      <c r="E63" s="363" t="n">
        <v>162581.42</v>
      </c>
    </row>
    <row r="64" ht="12" customHeight="1" s="282">
      <c r="A64" s="229" t="inlineStr">
        <is>
          <t>סה"כ לקבוצה:</t>
        </is>
      </c>
      <c r="B64" s="341" t="n">
        <v>650</v>
      </c>
      <c r="E64" s="347" t="n">
        <v>228378.42</v>
      </c>
      <c r="F64" s="201" t="n">
        <v>0</v>
      </c>
      <c r="G64" s="349" t="n">
        <v>-228378.42</v>
      </c>
    </row>
    <row r="65" ht="12" customHeight="1" s="282">
      <c r="B65" s="357" t="n">
        <v>660</v>
      </c>
      <c r="C65" s="361" t="n">
        <v>6600</v>
      </c>
      <c r="D65" s="241" t="inlineStr">
        <is>
          <t>קבלני משנה</t>
        </is>
      </c>
      <c r="E65" s="363" t="n">
        <v>402941.37</v>
      </c>
    </row>
    <row r="66" ht="12" customHeight="1" s="282">
      <c r="B66" s="357" t="n">
        <v>660</v>
      </c>
      <c r="C66" s="361" t="n">
        <v>6605</v>
      </c>
      <c r="D66" s="241" t="inlineStr">
        <is>
          <t>פינוי פסולת</t>
        </is>
      </c>
      <c r="E66" s="362" t="n">
        <v>12461.53</v>
      </c>
    </row>
    <row r="67" ht="12" customHeight="1" s="282">
      <c r="A67" s="229" t="inlineStr">
        <is>
          <t>סה"כ לקבוצה:</t>
        </is>
      </c>
      <c r="B67" s="341" t="n">
        <v>660</v>
      </c>
      <c r="E67" s="347" t="n">
        <v>415402.9</v>
      </c>
      <c r="F67" s="201" t="n">
        <v>0</v>
      </c>
      <c r="G67" s="349" t="n">
        <v>-415402.9</v>
      </c>
    </row>
    <row r="68" ht="12" customHeight="1" s="282">
      <c r="A68" s="229" t="inlineStr">
        <is>
          <t>סה"כ לקבוצה:</t>
        </is>
      </c>
      <c r="B68" s="229" t="inlineStr">
        <is>
          <t>6**</t>
        </is>
      </c>
      <c r="E68" s="347" t="n">
        <v>643781.3199999999</v>
      </c>
      <c r="F68" s="353" t="n">
        <v>2450387.17</v>
      </c>
      <c r="G68" s="353" t="n">
        <v>1806605.85</v>
      </c>
    </row>
    <row r="69" ht="15" customHeight="1" s="282">
      <c r="A69" s="191" t="inlineStr">
        <is>
          <t>שכר עבודה</t>
        </is>
      </c>
    </row>
    <row r="70" ht="12" customHeight="1" s="282">
      <c r="B70" s="357" t="n">
        <v>700</v>
      </c>
      <c r="C70" s="361" t="n">
        <v>7000</v>
      </c>
      <c r="D70" s="241" t="inlineStr">
        <is>
          <t>שכר עבודה</t>
        </is>
      </c>
      <c r="E70" s="363" t="n">
        <v>721581</v>
      </c>
      <c r="F70" s="359" t="n"/>
    </row>
    <row r="71" ht="12" customHeight="1" s="282">
      <c r="B71" s="357" t="n">
        <v>700</v>
      </c>
      <c r="C71" s="361" t="n">
        <v>7001</v>
      </c>
      <c r="D71" s="241" t="inlineStr">
        <is>
          <t>סוציאליות</t>
        </is>
      </c>
      <c r="E71" s="362" t="n">
        <v>36789</v>
      </c>
      <c r="F71" s="359" t="n"/>
    </row>
    <row r="72" ht="12" customHeight="1" s="282">
      <c r="B72" s="357" t="n">
        <v>700</v>
      </c>
      <c r="C72" s="361" t="n">
        <v>7002</v>
      </c>
      <c r="D72" s="241" t="inlineStr">
        <is>
          <t>גמל מעביד</t>
        </is>
      </c>
      <c r="E72" s="362" t="n">
        <v>14763</v>
      </c>
      <c r="F72" s="359" t="n"/>
    </row>
    <row r="73" ht="12" customHeight="1" s="282">
      <c r="B73" s="357" t="n">
        <v>700</v>
      </c>
      <c r="C73" s="361" t="n">
        <v>7006</v>
      </c>
      <c r="D73" s="241" t="inlineStr">
        <is>
          <t>הוצ גמל פיצויים</t>
        </is>
      </c>
      <c r="E73" s="362" t="n">
        <v>18920</v>
      </c>
      <c r="F73" s="359" t="n"/>
    </row>
    <row r="74" ht="12" customHeight="1" s="282">
      <c r="B74" s="357" t="n">
        <v>700</v>
      </c>
      <c r="C74" s="361" t="n">
        <v>7010</v>
      </c>
      <c r="D74" s="241" t="inlineStr">
        <is>
          <t>הכנסות זקופות</t>
        </is>
      </c>
      <c r="E74" s="359" t="n"/>
      <c r="F74" s="364" t="n">
        <v>316</v>
      </c>
    </row>
    <row r="75" ht="12" customHeight="1" s="282">
      <c r="B75" s="357" t="n">
        <v>700</v>
      </c>
      <c r="C75" s="361" t="n">
        <v>7025</v>
      </c>
      <c r="D75" s="241" t="inlineStr">
        <is>
          <t>החזר תגמולי מילואים</t>
        </is>
      </c>
      <c r="E75" s="359" t="n"/>
      <c r="F75" s="362" t="n">
        <v>44047</v>
      </c>
    </row>
    <row r="76" ht="12" customHeight="1" s="282">
      <c r="A76" s="229" t="inlineStr">
        <is>
          <t>סה"כ לקבוצה:</t>
        </is>
      </c>
      <c r="B76" s="341" t="n">
        <v>700</v>
      </c>
      <c r="E76" s="347" t="n">
        <v>792053</v>
      </c>
      <c r="F76" s="348" t="n">
        <v>44363</v>
      </c>
      <c r="G76" s="349" t="n">
        <v>-747690</v>
      </c>
    </row>
    <row r="77" ht="15" customHeight="1" s="282">
      <c r="A77" s="191" t="inlineStr">
        <is>
          <t>הוצאות הנהלה וכלליות</t>
        </is>
      </c>
    </row>
    <row r="78" ht="12" customHeight="1" s="282">
      <c r="B78" s="357" t="n">
        <v>720</v>
      </c>
      <c r="C78" s="361" t="n">
        <v>7200</v>
      </c>
      <c r="D78" s="241" t="inlineStr">
        <is>
          <t>משרדיות</t>
        </is>
      </c>
      <c r="E78" s="364" t="n">
        <v>123.08</v>
      </c>
    </row>
    <row r="79" ht="12" customHeight="1" s="282">
      <c r="B79" s="357" t="n">
        <v>720</v>
      </c>
      <c r="C79" s="361" t="n">
        <v>7201</v>
      </c>
      <c r="D79" s="241" t="inlineStr">
        <is>
          <t>ביטוחים</t>
        </is>
      </c>
      <c r="E79" s="362" t="n">
        <v>33831</v>
      </c>
    </row>
    <row r="80" ht="12" customHeight="1" s="282">
      <c r="B80" s="357" t="n">
        <v>720</v>
      </c>
      <c r="C80" s="361" t="n">
        <v>7204</v>
      </c>
      <c r="D80" s="241" t="inlineStr">
        <is>
          <t>אגרות ורשיונות</t>
        </is>
      </c>
      <c r="E80" s="360" t="n">
        <v>1215</v>
      </c>
    </row>
    <row r="81" ht="12" customHeight="1" s="282">
      <c r="B81" s="357" t="n">
        <v>720</v>
      </c>
      <c r="C81" s="361" t="n">
        <v>7209</v>
      </c>
      <c r="D81" s="241" t="inlineStr">
        <is>
          <t>ביגוד ונעלי עבודה</t>
        </is>
      </c>
      <c r="E81" s="364" t="n">
        <v>186.24</v>
      </c>
    </row>
    <row r="82" ht="12" customHeight="1" s="282">
      <c r="B82" s="357" t="n">
        <v>720</v>
      </c>
      <c r="C82" s="361" t="n">
        <v>7210</v>
      </c>
      <c r="D82" s="241" t="inlineStr">
        <is>
          <t>טלפון ותקשורת</t>
        </is>
      </c>
      <c r="E82" s="360" t="n">
        <v>1432.81</v>
      </c>
    </row>
    <row r="83" ht="12" customHeight="1" s="282">
      <c r="B83" s="357" t="n">
        <v>720</v>
      </c>
      <c r="C83" s="361" t="n">
        <v>7455</v>
      </c>
      <c r="D83" s="241" t="inlineStr">
        <is>
          <t>הוצאות דיבידנד</t>
        </is>
      </c>
      <c r="E83" s="363" t="n">
        <v>571428</v>
      </c>
    </row>
    <row r="84" ht="12" customHeight="1" s="282">
      <c r="A84" s="229" t="inlineStr">
        <is>
          <t>סה"כ לקבוצה:</t>
        </is>
      </c>
      <c r="B84" s="341" t="n">
        <v>720</v>
      </c>
      <c r="E84" s="347" t="n">
        <v>608216.13</v>
      </c>
      <c r="F84" s="201" t="n">
        <v>0</v>
      </c>
      <c r="G84" s="349" t="n">
        <v>-608216.13</v>
      </c>
    </row>
    <row r="85" ht="12" customHeight="1" s="282">
      <c r="B85" s="357" t="n">
        <v>730</v>
      </c>
      <c r="C85" s="361" t="n">
        <v>7300</v>
      </c>
      <c r="D85" s="241" t="inlineStr">
        <is>
          <t>אחזקה ותיקונים</t>
        </is>
      </c>
      <c r="E85" s="364" t="n">
        <v>555.5599999999999</v>
      </c>
    </row>
    <row r="86" ht="12" customHeight="1" s="282">
      <c r="B86" s="357" t="n">
        <v>730</v>
      </c>
      <c r="C86" s="361" t="n">
        <v>7301</v>
      </c>
      <c r="D86" s="241" t="inlineStr">
        <is>
          <t>כלי עבודה</t>
        </is>
      </c>
      <c r="E86" s="362" t="n">
        <v>23736.57</v>
      </c>
    </row>
    <row r="87" ht="12" customHeight="1" s="282">
      <c r="A87" s="229" t="inlineStr">
        <is>
          <t>סה"כ לקבוצה:</t>
        </is>
      </c>
      <c r="B87" s="341" t="n">
        <v>730</v>
      </c>
      <c r="E87" s="348" t="n">
        <v>24292.13</v>
      </c>
      <c r="F87" s="201" t="n">
        <v>0</v>
      </c>
      <c r="G87" s="350" t="n">
        <v>-24292.13</v>
      </c>
    </row>
    <row r="88" ht="15" customHeight="1" s="282">
      <c r="A88" s="191" t="inlineStr">
        <is>
          <t>אחזקת רכב</t>
        </is>
      </c>
    </row>
    <row r="89" ht="12" customHeight="1" s="282">
      <c r="B89" s="357" t="n">
        <v>760</v>
      </c>
      <c r="C89" s="361" t="n">
        <v>7600</v>
      </c>
      <c r="D89" s="241" t="inlineStr">
        <is>
          <t>24-388-73  יונדאי דלק    (10.2016)</t>
        </is>
      </c>
      <c r="E89" s="362" t="n">
        <v>16520.66</v>
      </c>
    </row>
    <row r="90" ht="12" customHeight="1" s="282">
      <c r="B90" s="357" t="n">
        <v>760</v>
      </c>
      <c r="C90" s="361" t="n">
        <v>7601</v>
      </c>
      <c r="D90" s="241" t="inlineStr">
        <is>
          <t>24-388-73  יונדאי הוצ שוטפות    (10.2016)</t>
        </is>
      </c>
      <c r="E90" s="360" t="n">
        <v>7265.93</v>
      </c>
    </row>
    <row r="91" ht="12" customHeight="1" s="282">
      <c r="B91" s="357" t="n">
        <v>760</v>
      </c>
      <c r="C91" s="361" t="n">
        <v>7602</v>
      </c>
      <c r="D91" s="241" t="inlineStr">
        <is>
          <t>24-388-73  יונדאי ביטוחים    (10.2016)</t>
        </is>
      </c>
      <c r="E91" s="360" t="n">
        <v>4803</v>
      </c>
    </row>
    <row r="92" ht="12" customHeight="1" s="282">
      <c r="A92" s="229" t="inlineStr">
        <is>
          <t>סה"כ לקבוצה:</t>
        </is>
      </c>
      <c r="B92" s="341" t="n">
        <v>760</v>
      </c>
      <c r="E92" s="348" t="n">
        <v>28589.59</v>
      </c>
      <c r="F92" s="201" t="n">
        <v>0</v>
      </c>
      <c r="G92" s="350" t="n">
        <v>-28589.59</v>
      </c>
    </row>
    <row r="93" ht="15" customHeight="1" s="282">
      <c r="A93" s="191" t="inlineStr">
        <is>
          <t>מימון</t>
        </is>
      </c>
    </row>
    <row r="94" ht="12" customHeight="1" s="282">
      <c r="B94" s="357" t="n">
        <v>790</v>
      </c>
      <c r="C94" s="361" t="n">
        <v>7900</v>
      </c>
      <c r="D94" s="241" t="inlineStr">
        <is>
          <t>ריבית ועמלות בנק</t>
        </is>
      </c>
      <c r="E94" s="360" t="n">
        <v>2950.84</v>
      </c>
      <c r="F94" s="359" t="n"/>
    </row>
    <row r="95" ht="12" customHeight="1" s="282">
      <c r="B95" s="357" t="n">
        <v>790</v>
      </c>
      <c r="C95" s="361" t="n">
        <v>7950</v>
      </c>
      <c r="D95" s="241" t="inlineStr">
        <is>
          <t>ריבית פקדון</t>
        </is>
      </c>
      <c r="E95" s="359" t="n"/>
      <c r="F95" s="364" t="n">
        <v>406</v>
      </c>
    </row>
    <row r="96" ht="12" customHeight="1" s="282">
      <c r="B96" s="357" t="n">
        <v>790</v>
      </c>
      <c r="C96" s="361" t="n">
        <v>7999</v>
      </c>
      <c r="D96" s="241" t="inlineStr">
        <is>
          <t>ביטול ייתרות</t>
        </is>
      </c>
      <c r="E96" s="359" t="n"/>
      <c r="F96" s="366" t="n">
        <v>33.72</v>
      </c>
    </row>
    <row r="97" ht="12" customHeight="1" s="282">
      <c r="A97" s="229" t="inlineStr">
        <is>
          <t>סה"כ לקבוצה:</t>
        </is>
      </c>
      <c r="B97" s="341" t="n">
        <v>790</v>
      </c>
      <c r="E97" s="343" t="n">
        <v>2950.84</v>
      </c>
      <c r="F97" s="351" t="n">
        <v>439.72</v>
      </c>
      <c r="G97" s="354" t="n">
        <v>-2511.12</v>
      </c>
    </row>
    <row r="98" ht="12" customHeight="1" s="282">
      <c r="A98" s="229" t="inlineStr">
        <is>
          <t>סה"כ לקבוצה:</t>
        </is>
      </c>
      <c r="B98" s="229" t="inlineStr">
        <is>
          <t>7**</t>
        </is>
      </c>
      <c r="E98" s="353" t="n">
        <v>1456101.69</v>
      </c>
      <c r="F98" s="348" t="n">
        <v>44802.72</v>
      </c>
      <c r="G98" s="356" t="n">
        <v>-1411298.97</v>
      </c>
    </row>
    <row r="99" ht="12" customHeight="1" s="282">
      <c r="A99" s="229" t="inlineStr">
        <is>
          <t>סה"כ לקבוצה:</t>
        </is>
      </c>
      <c r="B99" s="229" t="inlineStr">
        <is>
          <t>***</t>
        </is>
      </c>
      <c r="E99" s="353" t="n">
        <v>3712341.79</v>
      </c>
      <c r="F99" s="353" t="n">
        <v>3712341.79</v>
      </c>
      <c r="G99" s="201" t="n">
        <v>0</v>
      </c>
    </row>
    <row r="100" ht="12" customHeight="1" s="282">
      <c r="A100" s="229" t="inlineStr">
        <is>
          <t>סה"כ לדו"ח:</t>
        </is>
      </c>
      <c r="E100" s="353" t="n">
        <v>3712341.79</v>
      </c>
      <c r="F100" s="353" t="n">
        <v>3712341.79</v>
      </c>
      <c r="G100" s="201" t="n">
        <v>0</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M389"/>
  <sheetViews>
    <sheetView rightToLeft="1" topLeftCell="A97" workbookViewId="0">
      <selection activeCell="A1" sqref="A1:IV65536"/>
    </sheetView>
  </sheetViews>
  <sheetFormatPr baseColWidth="10" defaultRowHeight="16"/>
  <cols>
    <col width="5.19921875" customWidth="1" style="282" min="1" max="1"/>
    <col width="6.796875" customWidth="1" style="282" min="2" max="2"/>
    <col width="23.19921875" customWidth="1" style="282" min="3" max="3"/>
    <col width="11.796875" customWidth="1" style="282" min="4" max="4"/>
    <col width="12.796875" customWidth="1" style="282" min="5" max="5"/>
    <col width="9.3984375" customWidth="1" style="282" min="6" max="6"/>
    <col width="12.19921875" customWidth="1" style="282" min="7" max="7"/>
    <col width="10.19921875" bestFit="1" customWidth="1" style="282" min="8" max="8"/>
    <col width="9" customWidth="1" style="282" min="9" max="10"/>
    <col width="10.19921875" bestFit="1" customWidth="1" style="282" min="11" max="11"/>
    <col width="9" customWidth="1" style="282" min="12" max="12"/>
    <col width="10.19921875" bestFit="1" customWidth="1" style="282" min="13" max="13"/>
    <col width="9" customWidth="1" style="282" min="14" max="256"/>
  </cols>
  <sheetData>
    <row r="1">
      <c r="A1" s="283" t="n"/>
      <c r="B1" s="283" t="n"/>
      <c r="C1" s="283" t="inlineStr">
        <is>
          <t xml:space="preserve">מירון יתרות </t>
        </is>
      </c>
      <c r="D1" s="283" t="n"/>
      <c r="E1" s="283" t="n"/>
      <c r="F1" s="283" t="n"/>
      <c r="G1" s="283" t="n"/>
      <c r="H1" s="283" t="n"/>
    </row>
    <row r="2">
      <c r="A2" s="284" t="n"/>
      <c r="B2" s="284" t="n"/>
      <c r="C2" s="284" t="n"/>
      <c r="D2" s="284" t="inlineStr">
        <is>
          <t>חובה</t>
        </is>
      </c>
      <c r="E2" s="284" t="inlineStr">
        <is>
          <t>זכות</t>
        </is>
      </c>
      <c r="F2" s="284" t="inlineStr">
        <is>
          <t>פ.נ</t>
        </is>
      </c>
      <c r="G2" s="284" t="inlineStr">
        <is>
          <t>יתרה</t>
        </is>
      </c>
      <c r="H2" s="284" t="n"/>
    </row>
    <row r="3">
      <c r="A3" s="283" t="n"/>
      <c r="B3" s="283" t="n"/>
      <c r="C3" s="140" t="inlineStr">
        <is>
          <t>מזומנים ושווי מזומנים</t>
        </is>
      </c>
      <c r="D3" s="283" t="n"/>
      <c r="E3" s="284" t="n"/>
      <c r="F3" s="284" t="n"/>
      <c r="G3" s="284" t="n"/>
      <c r="H3" s="284" t="n"/>
    </row>
    <row r="4">
      <c r="A4" s="357" t="n">
        <v>110</v>
      </c>
      <c r="B4" s="361" t="n">
        <v>1030</v>
      </c>
      <c r="C4" s="241" t="inlineStr">
        <is>
          <t>פקדון</t>
        </is>
      </c>
      <c r="D4" s="362" t="n">
        <v>41812.86</v>
      </c>
      <c r="E4" s="289" t="n"/>
      <c r="F4" s="284" t="n"/>
      <c r="G4" s="284">
        <f>D4-E4+F4</f>
        <v/>
      </c>
      <c r="H4" s="284" t="n"/>
    </row>
    <row r="5">
      <c r="A5" s="357" t="n">
        <v>110</v>
      </c>
      <c r="B5" s="361" t="n">
        <v>1100</v>
      </c>
      <c r="C5" s="241" t="inlineStr">
        <is>
          <t>בנק הפועלים בע"מ</t>
        </is>
      </c>
      <c r="D5" s="363" t="n">
        <v>945729.3199999999</v>
      </c>
      <c r="E5" s="289" t="n"/>
      <c r="F5" s="289" t="n"/>
      <c r="G5" s="284">
        <f>D5-E5+F5</f>
        <v/>
      </c>
      <c r="H5" s="284" t="n"/>
    </row>
    <row r="6">
      <c r="A6" s="285" t="n">
        <v>100</v>
      </c>
      <c r="B6" s="286" t="n">
        <v>1005</v>
      </c>
      <c r="C6" s="206" t="inlineStr">
        <is>
          <t>קופת שקים</t>
        </is>
      </c>
      <c r="D6" s="299" t="n"/>
      <c r="E6" s="294" t="n"/>
      <c r="F6" s="289" t="n"/>
      <c r="G6" s="284">
        <f>D6-E6+F6</f>
        <v/>
      </c>
      <c r="H6" s="284">
        <f>SUM(G4:G7)</f>
        <v/>
      </c>
    </row>
    <row r="7">
      <c r="A7" s="294" t="n"/>
      <c r="B7" s="294" t="n"/>
      <c r="C7" s="295" t="inlineStr">
        <is>
          <t>שקים לגביה</t>
        </is>
      </c>
      <c r="D7" s="160" t="n"/>
      <c r="E7" s="294" t="n"/>
      <c r="F7" s="289" t="n"/>
      <c r="G7" s="284">
        <f>D7-E7+F7</f>
        <v/>
      </c>
      <c r="H7" s="284" t="n"/>
    </row>
    <row r="8">
      <c r="A8" s="294" t="n"/>
      <c r="B8" s="294" t="n"/>
      <c r="C8" s="295" t="n"/>
      <c r="D8" s="160" t="n"/>
      <c r="E8" s="294" t="n"/>
      <c r="F8" s="289" t="n"/>
      <c r="G8" s="284">
        <f>D8-E8+F8</f>
        <v/>
      </c>
      <c r="H8" s="284" t="n"/>
    </row>
    <row r="9">
      <c r="A9" s="285" t="n">
        <v>110</v>
      </c>
      <c r="B9" s="286" t="n">
        <v>1150</v>
      </c>
      <c r="C9" s="206" t="inlineStr">
        <is>
          <t>שקים לפרעון</t>
        </is>
      </c>
      <c r="D9" s="208" t="n"/>
      <c r="E9" s="297" t="n"/>
      <c r="F9" s="289" t="n"/>
      <c r="G9" s="284">
        <f>D9-E9+F9</f>
        <v/>
      </c>
      <c r="H9" s="284" t="n"/>
    </row>
    <row r="10">
      <c r="A10" s="357" t="n">
        <v>110</v>
      </c>
      <c r="B10" s="358" t="n">
        <v>633</v>
      </c>
      <c r="C10" s="241" t="inlineStr">
        <is>
          <t>633  ישראכרט  עסקי</t>
        </is>
      </c>
      <c r="D10" s="359" t="n"/>
      <c r="E10" s="360" t="n">
        <v>3564.29</v>
      </c>
      <c r="F10" s="289" t="n"/>
      <c r="G10" s="284">
        <f>D10-E10+F10</f>
        <v/>
      </c>
      <c r="H10" s="284">
        <f>SUM(G9:G10)</f>
        <v/>
      </c>
      <c r="M10" s="298" t="n">
        <v>1838445</v>
      </c>
    </row>
    <row r="11">
      <c r="A11" s="294" t="n"/>
      <c r="B11" s="294" t="n"/>
      <c r="C11" s="140" t="inlineStr">
        <is>
          <t>לקוחות</t>
        </is>
      </c>
      <c r="D11" s="294" t="n"/>
      <c r="E11" s="160" t="n"/>
      <c r="F11" s="289" t="n"/>
      <c r="G11" s="284">
        <f>D11-E11+F11</f>
        <v/>
      </c>
      <c r="H11" s="284" t="n"/>
    </row>
    <row r="12">
      <c r="A12" s="357" t="n">
        <v>200</v>
      </c>
      <c r="B12" s="361" t="n">
        <v>2040</v>
      </c>
      <c r="C12" s="241" t="inlineStr">
        <is>
          <t>חברת החשמל לישראל בע"מ</t>
        </is>
      </c>
      <c r="D12" s="362" t="n">
        <v>43913</v>
      </c>
      <c r="E12" s="300" t="n"/>
      <c r="F12" s="289" t="n"/>
      <c r="G12" s="284">
        <f>D12-E12+F12</f>
        <v/>
      </c>
      <c r="H12" s="284" t="n"/>
      <c r="M12" s="298" t="n">
        <v>6500</v>
      </c>
    </row>
    <row r="13">
      <c r="A13" s="357" t="n">
        <v>200</v>
      </c>
      <c r="B13" s="361" t="n">
        <v>2080</v>
      </c>
      <c r="C13" s="241" t="inlineStr">
        <is>
          <t>החברה הלאומית לאספקת פחם בע"מ</t>
        </is>
      </c>
      <c r="D13" s="363" t="n">
        <v>196560</v>
      </c>
      <c r="E13" s="300" t="n"/>
      <c r="F13" s="289" t="n"/>
      <c r="G13" s="284">
        <f>D13-E13+F13</f>
        <v/>
      </c>
      <c r="H13" s="284" t="n"/>
    </row>
    <row r="14">
      <c r="A14" s="330" t="n">
        <v>200</v>
      </c>
      <c r="B14" s="331" t="n">
        <v>2059</v>
      </c>
      <c r="C14" s="216" t="inlineStr">
        <is>
          <t>ביטון ליאור</t>
        </is>
      </c>
      <c r="D14" s="332" t="n"/>
      <c r="E14" s="300" t="n"/>
      <c r="F14" s="289" t="n"/>
      <c r="G14" s="284">
        <f>D14-E14+F14</f>
        <v/>
      </c>
      <c r="H14" s="284" t="n"/>
    </row>
    <row r="15">
      <c r="A15" s="300" t="n"/>
      <c r="B15" s="300" t="n"/>
      <c r="C15" s="302" t="n"/>
      <c r="D15" s="170" t="n"/>
      <c r="E15" s="300" t="n"/>
      <c r="F15" s="289" t="n"/>
      <c r="G15" s="284">
        <f>D15-E15+F15</f>
        <v/>
      </c>
      <c r="H15" s="284">
        <f>SUM(G12:G15)</f>
        <v/>
      </c>
      <c r="M15" s="298">
        <f>SUM(M10:M14)</f>
        <v/>
      </c>
    </row>
    <row r="16">
      <c r="A16" s="294" t="n"/>
      <c r="B16" s="294" t="n"/>
      <c r="C16" s="140" t="inlineStr">
        <is>
          <t>פקיד שומה</t>
        </is>
      </c>
      <c r="D16" s="294" t="n"/>
      <c r="E16" s="300" t="n"/>
      <c r="F16" s="289" t="n"/>
      <c r="G16" s="284">
        <f>D16-E16+F16</f>
        <v/>
      </c>
      <c r="H16" s="284" t="n"/>
    </row>
    <row r="17">
      <c r="A17" s="357" t="n">
        <v>270</v>
      </c>
      <c r="B17" s="361" t="n">
        <v>2700</v>
      </c>
      <c r="C17" s="241" t="inlineStr">
        <is>
          <t>נכוי במקור - לקוחות</t>
        </is>
      </c>
      <c r="D17" s="363" t="n">
        <v>115686.68</v>
      </c>
      <c r="E17" s="300" t="n"/>
      <c r="F17" s="289" t="n"/>
      <c r="G17" s="284">
        <f>D17-E17+F17</f>
        <v/>
      </c>
      <c r="H17" s="284" t="n"/>
      <c r="I17" s="298" t="inlineStr">
        <is>
          <t>מתאים לאישורים</t>
        </is>
      </c>
    </row>
    <row r="18">
      <c r="A18" s="357" t="n">
        <v>270</v>
      </c>
      <c r="B18" s="361" t="n">
        <v>2744</v>
      </c>
      <c r="C18" s="241" t="inlineStr">
        <is>
          <t>מס הכנסה שנים קודמות</t>
        </is>
      </c>
      <c r="D18" s="360" t="n">
        <v>4096.53</v>
      </c>
      <c r="E18" s="300" t="n"/>
      <c r="F18" s="289" t="n"/>
      <c r="G18" s="284">
        <f>D18-E18+F18</f>
        <v/>
      </c>
      <c r="H18" s="284" t="n"/>
      <c r="J18" s="298" t="inlineStr">
        <is>
          <t>ב 137 דווח 115265</t>
        </is>
      </c>
    </row>
    <row r="19">
      <c r="A19" s="357" t="n">
        <v>270</v>
      </c>
      <c r="B19" s="361" t="n">
        <v>2745</v>
      </c>
      <c r="C19" s="241" t="inlineStr">
        <is>
          <t>מס הכנסה מקדמות</t>
        </is>
      </c>
      <c r="D19" s="363" t="n">
        <v>115321</v>
      </c>
      <c r="E19" s="300" t="n"/>
      <c r="F19" s="289" t="n"/>
      <c r="G19" s="284">
        <f>D19-E19+F19</f>
        <v/>
      </c>
      <c r="H19" s="284" t="n"/>
      <c r="I19" s="298" t="n">
        <v>20946</v>
      </c>
      <c r="J19" s="298" t="inlineStr">
        <is>
          <t>כולל דצמבר</t>
        </is>
      </c>
    </row>
    <row r="20" ht="17" customHeight="1" s="282" thickBot="1">
      <c r="A20" s="300" t="n"/>
      <c r="B20" s="300" t="n"/>
      <c r="C20" s="302" t="n"/>
      <c r="D20" s="300" t="n"/>
      <c r="E20" s="170" t="n"/>
      <c r="F20" s="289" t="n"/>
      <c r="G20" s="284">
        <f>D20-E20+F20</f>
        <v/>
      </c>
      <c r="H20" s="284">
        <f>SUM(G17:G20)</f>
        <v/>
      </c>
    </row>
    <row r="21">
      <c r="A21" s="294" t="n"/>
      <c r="B21" s="294" t="n"/>
      <c r="C21" s="140" t="inlineStr">
        <is>
          <t>רכוש קבוע</t>
        </is>
      </c>
      <c r="D21" s="294" t="n"/>
      <c r="E21" s="160" t="n"/>
      <c r="F21" s="289" t="n"/>
      <c r="G21" s="284">
        <f>D21-E21+F21</f>
        <v/>
      </c>
      <c r="H21" s="284" t="n"/>
      <c r="M21" s="303" t="inlineStr">
        <is>
          <t>מלאי</t>
        </is>
      </c>
    </row>
    <row r="22">
      <c r="A22" s="290" t="n"/>
      <c r="B22" s="291" t="n"/>
      <c r="C22" s="292" t="n"/>
      <c r="D22" s="293" t="n"/>
      <c r="E22" s="304" t="n"/>
      <c r="F22" s="289" t="n"/>
      <c r="G22" s="284">
        <f>D22-E22+F22</f>
        <v/>
      </c>
      <c r="H22" s="284" t="n"/>
      <c r="M22" s="305" t="n">
        <v>29924</v>
      </c>
    </row>
    <row r="23">
      <c r="A23" s="357" t="n">
        <v>280</v>
      </c>
      <c r="B23" s="361" t="n">
        <v>2800</v>
      </c>
      <c r="C23" s="241" t="inlineStr">
        <is>
          <t>רכוש קבוע</t>
        </is>
      </c>
      <c r="D23" s="363" t="n">
        <v>122815.76</v>
      </c>
      <c r="E23" s="359" t="n"/>
      <c r="F23" s="289" t="n"/>
      <c r="G23" s="284">
        <f>D23-E23+F23</f>
        <v/>
      </c>
      <c r="H23" s="284">
        <f>SUM(G22:G23)</f>
        <v/>
      </c>
      <c r="M23" s="305" t="n"/>
    </row>
    <row r="24" ht="17" customHeight="1" s="282" thickBot="1">
      <c r="A24" s="357" t="n">
        <v>280</v>
      </c>
      <c r="B24" s="361" t="n">
        <v>2850</v>
      </c>
      <c r="C24" s="241" t="inlineStr">
        <is>
          <t>פחת נצבר</t>
        </is>
      </c>
      <c r="D24" s="359" t="n"/>
      <c r="E24" s="362" t="n">
        <v>96157</v>
      </c>
      <c r="F24" s="289" t="n">
        <v>-4780</v>
      </c>
      <c r="G24" s="284">
        <f>D24-E24+F24</f>
        <v/>
      </c>
      <c r="H24" s="284">
        <f>SUM(G24)</f>
        <v/>
      </c>
      <c r="M24" s="306" t="n">
        <v>36943</v>
      </c>
    </row>
    <row r="25">
      <c r="A25" s="294" t="n"/>
      <c r="B25" s="294" t="n"/>
      <c r="C25" s="295" t="n"/>
      <c r="D25" s="294" t="n"/>
      <c r="E25" s="160" t="n"/>
      <c r="F25" s="289" t="n"/>
      <c r="G25" s="284">
        <f>D25-E25+F25</f>
        <v/>
      </c>
      <c r="H25" s="284" t="n"/>
      <c r="M25" s="298">
        <f>SUM(M22:M24)</f>
        <v/>
      </c>
    </row>
    <row r="26">
      <c r="A26" s="294" t="n"/>
      <c r="B26" s="294" t="n"/>
      <c r="C26" s="295" t="n"/>
      <c r="D26" s="294" t="n"/>
      <c r="E26" s="160" t="n"/>
      <c r="F26" s="289" t="n"/>
      <c r="G26" s="284">
        <f>D26-E26+F26</f>
        <v/>
      </c>
      <c r="H26" s="284" t="n"/>
    </row>
    <row r="27">
      <c r="A27" s="294" t="n">
        <v>290</v>
      </c>
      <c r="B27" s="294" t="n">
        <v>2901</v>
      </c>
      <c r="C27" s="294" t="inlineStr">
        <is>
          <t>מלאי עבודות בביצוע מאזן</t>
        </is>
      </c>
      <c r="D27" s="294" t="n"/>
      <c r="E27" s="160" t="n"/>
      <c r="F27" s="289" t="n">
        <v>37488</v>
      </c>
      <c r="G27" s="284">
        <f>D27-E27+F27</f>
        <v/>
      </c>
      <c r="H27" s="284" t="n"/>
    </row>
    <row r="28">
      <c r="A28" s="294" t="n"/>
      <c r="B28" s="294" t="n"/>
      <c r="C28" s="140" t="inlineStr">
        <is>
          <t>ספקים</t>
        </is>
      </c>
      <c r="D28" s="294" t="n"/>
      <c r="E28" s="160" t="n"/>
      <c r="F28" s="289" t="n"/>
      <c r="G28" s="284">
        <f>D28-E28+F28</f>
        <v/>
      </c>
      <c r="H28" s="284" t="n"/>
    </row>
    <row r="29">
      <c r="A29" s="357" t="n">
        <v>300</v>
      </c>
      <c r="B29" s="361" t="n">
        <v>3004</v>
      </c>
      <c r="C29" s="241" t="inlineStr">
        <is>
          <t>גבס השרון בע"מ</t>
        </is>
      </c>
      <c r="D29" s="359" t="n"/>
      <c r="E29" s="360" t="n">
        <v>2917</v>
      </c>
      <c r="F29" s="289" t="n"/>
      <c r="G29" s="284">
        <f>D29-E29+F29</f>
        <v/>
      </c>
      <c r="H29" s="284" t="n"/>
    </row>
    <row r="30">
      <c r="A30" s="357" t="n">
        <v>300</v>
      </c>
      <c r="B30" s="361" t="n">
        <v>3105</v>
      </c>
      <c r="C30" s="241" t="inlineStr">
        <is>
          <t>אברהם קראדי ובניו בע"מ</t>
        </is>
      </c>
      <c r="D30" s="362" t="n">
        <v>21000</v>
      </c>
      <c r="E30" s="359" t="n"/>
      <c r="F30" s="289" t="n"/>
      <c r="G30" s="284">
        <f>D30-E30+F30</f>
        <v/>
      </c>
      <c r="H30" s="284" t="n"/>
    </row>
    <row r="31">
      <c r="A31" s="357" t="n">
        <v>300</v>
      </c>
      <c r="B31" s="361" t="n">
        <v>3241</v>
      </c>
      <c r="C31" s="241" t="inlineStr">
        <is>
          <t>אורלי - משאבי אנרגיה בע"מ</t>
        </is>
      </c>
      <c r="D31" s="359" t="n"/>
      <c r="E31" s="364" t="n">
        <v>972</v>
      </c>
      <c r="F31" s="289" t="n"/>
      <c r="G31" s="284">
        <f>D31-E31+F31</f>
        <v/>
      </c>
      <c r="H31" s="284" t="n"/>
    </row>
    <row r="32">
      <c r="A32" s="357" t="n">
        <v>300</v>
      </c>
      <c r="B32" s="361" t="n">
        <v>3712</v>
      </c>
      <c r="C32" s="241" t="inlineStr">
        <is>
          <t>ראובן נסים</t>
        </is>
      </c>
      <c r="D32" s="359" t="n"/>
      <c r="E32" s="360" t="n">
        <v>6300</v>
      </c>
      <c r="F32" s="289" t="n"/>
      <c r="G32" s="284">
        <f>D32-E32+F32</f>
        <v/>
      </c>
      <c r="H32" s="284" t="n"/>
    </row>
    <row r="33">
      <c r="A33" s="357" t="n">
        <v>351</v>
      </c>
      <c r="B33" s="361" t="n">
        <v>3640</v>
      </c>
      <c r="C33" s="241" t="inlineStr">
        <is>
          <t>הפניקס קרן פנסיה</t>
        </is>
      </c>
      <c r="D33" s="359" t="n"/>
      <c r="E33" s="362" t="n">
        <v>13789</v>
      </c>
      <c r="F33" s="289" t="n"/>
      <c r="G33" s="284">
        <f>D33-E33+F33</f>
        <v/>
      </c>
      <c r="H33" s="284">
        <f>SUM(G29:G33)</f>
        <v/>
      </c>
    </row>
    <row r="34">
      <c r="A34" s="294" t="n"/>
      <c r="B34" s="294" t="n"/>
      <c r="C34" s="294" t="n"/>
      <c r="D34" s="294" t="n"/>
      <c r="E34" s="294" t="n"/>
      <c r="F34" s="289" t="n"/>
      <c r="G34" s="284">
        <f>D34-E34+F34</f>
        <v/>
      </c>
      <c r="H34" s="284" t="n"/>
    </row>
    <row r="35">
      <c r="A35" s="294" t="n"/>
      <c r="B35" s="294" t="n"/>
      <c r="C35" s="294" t="inlineStr">
        <is>
          <t>הוצאות מראש</t>
        </is>
      </c>
      <c r="D35" s="294" t="n"/>
      <c r="E35" s="294" t="n"/>
      <c r="F35" s="289" t="n"/>
      <c r="G35" s="284">
        <f>D35-E35+F35</f>
        <v/>
      </c>
      <c r="H35" s="284" t="n"/>
    </row>
    <row r="36">
      <c r="A36" s="294" t="n"/>
      <c r="B36" s="294" t="n"/>
      <c r="C36" s="294" t="n"/>
      <c r="D36" s="294" t="n"/>
      <c r="E36" s="294" t="n"/>
      <c r="F36" s="289" t="n"/>
      <c r="G36" s="284">
        <f>D36-E36+F36</f>
        <v/>
      </c>
      <c r="H36" s="284" t="n"/>
    </row>
    <row r="37">
      <c r="A37" s="285" t="n">
        <v>750</v>
      </c>
      <c r="B37" s="286" t="n">
        <v>7550</v>
      </c>
      <c r="C37" s="206" t="inlineStr">
        <is>
          <t>הוצאות לשלם</t>
        </is>
      </c>
      <c r="D37" s="208" t="n"/>
      <c r="E37" s="301" t="n"/>
      <c r="F37" s="289" t="n"/>
      <c r="G37" s="284">
        <f>D37-E37+F37</f>
        <v/>
      </c>
      <c r="H37" s="284" t="n"/>
    </row>
    <row r="38">
      <c r="A38" s="294" t="n"/>
      <c r="B38" s="294" t="n"/>
      <c r="C38" s="294" t="n"/>
      <c r="D38" s="294" t="n"/>
      <c r="E38" s="294" t="n"/>
      <c r="F38" s="289" t="n"/>
      <c r="G38" s="284">
        <f>D38-E38+F38</f>
        <v/>
      </c>
      <c r="H38" s="284" t="n"/>
    </row>
    <row r="39">
      <c r="A39" s="294" t="n"/>
      <c r="B39" s="294" t="n"/>
      <c r="C39" s="294" t="n"/>
      <c r="D39" s="294" t="n"/>
      <c r="E39" s="294" t="n"/>
      <c r="F39" s="289" t="n"/>
      <c r="G39" s="284">
        <f>D39-E39+F39</f>
        <v/>
      </c>
      <c r="H39" s="284" t="n"/>
    </row>
    <row r="40">
      <c r="A40" s="357" t="n">
        <v>360</v>
      </c>
      <c r="B40" s="361" t="n">
        <v>3600</v>
      </c>
      <c r="C40" s="241" t="inlineStr">
        <is>
          <t>מס הכנסה ניכויים</t>
        </is>
      </c>
      <c r="D40" s="359" t="n"/>
      <c r="E40" s="362" t="n">
        <v>18290.56</v>
      </c>
      <c r="F40" s="289" t="n"/>
      <c r="G40" s="284">
        <f>D40-E40+F40</f>
        <v/>
      </c>
      <c r="H40" s="284" t="n"/>
    </row>
    <row r="41">
      <c r="A41" s="357" t="n">
        <v>360</v>
      </c>
      <c r="B41" s="361" t="n">
        <v>3610</v>
      </c>
      <c r="C41" s="241" t="inlineStr">
        <is>
          <t>ביטוח לאומי ניכויים</t>
        </is>
      </c>
      <c r="D41" s="359" t="n"/>
      <c r="E41" s="360" t="n">
        <v>8395</v>
      </c>
      <c r="F41" s="289" t="n"/>
      <c r="G41" s="284">
        <f>D41-E41+F41</f>
        <v/>
      </c>
      <c r="H41" s="284" t="n"/>
    </row>
    <row r="42">
      <c r="A42" s="357" t="n">
        <v>351</v>
      </c>
      <c r="B42" s="358" t="n">
        <v>162</v>
      </c>
      <c r="C42" s="241" t="inlineStr">
        <is>
          <t>מגדל מקפת אישית</t>
        </is>
      </c>
      <c r="D42" s="359" t="n"/>
      <c r="E42" s="360" t="n">
        <v>2971</v>
      </c>
      <c r="F42" s="289" t="n"/>
      <c r="G42" s="284">
        <f>D42-E42+F42</f>
        <v/>
      </c>
      <c r="H42" s="284" t="n"/>
    </row>
    <row r="43">
      <c r="A43" s="357" t="n">
        <v>351</v>
      </c>
      <c r="B43" s="358" t="n">
        <v>214</v>
      </c>
      <c r="C43" s="241" t="inlineStr">
        <is>
          <t>הראל פנסיה</t>
        </is>
      </c>
      <c r="D43" s="359" t="n"/>
      <c r="E43" s="360" t="n">
        <v>2330</v>
      </c>
      <c r="F43" s="289" t="n"/>
      <c r="G43" s="284">
        <f>D43-E43+F43</f>
        <v/>
      </c>
      <c r="H43" s="284" t="n"/>
    </row>
    <row r="44">
      <c r="A44" s="357" t="n">
        <v>351</v>
      </c>
      <c r="B44" s="361" t="n">
        <v>3640</v>
      </c>
      <c r="C44" s="241" t="inlineStr">
        <is>
          <t>הפניקס קרן פנסיה</t>
        </is>
      </c>
      <c r="D44" s="359" t="n"/>
      <c r="E44" s="362" t="n"/>
      <c r="F44" s="289" t="n"/>
      <c r="G44" s="284">
        <f>D44-E44+F44</f>
        <v/>
      </c>
      <c r="H44" s="284" t="n"/>
    </row>
    <row r="45">
      <c r="A45" s="357" t="n">
        <v>370</v>
      </c>
      <c r="B45" s="361" t="n">
        <v>3707</v>
      </c>
      <c r="C45" s="241" t="inlineStr">
        <is>
          <t>ראובן לוסי</t>
        </is>
      </c>
      <c r="D45" s="359" t="n"/>
      <c r="E45" s="364" t="n">
        <v>300</v>
      </c>
      <c r="F45" s="289" t="n"/>
      <c r="G45" s="284">
        <f>D45-E45+F45</f>
        <v/>
      </c>
      <c r="H45" s="284" t="n"/>
    </row>
    <row r="46">
      <c r="A46" s="357" t="n">
        <v>370</v>
      </c>
      <c r="B46" s="361" t="n">
        <v>3733</v>
      </c>
      <c r="C46" s="241" t="inlineStr">
        <is>
          <t>אלעד ראובן</t>
        </is>
      </c>
      <c r="D46" s="359" t="n"/>
      <c r="E46" s="362" t="n">
        <v>11700</v>
      </c>
      <c r="F46" s="289" t="n"/>
      <c r="G46" s="284">
        <f>D46-E46+F46</f>
        <v/>
      </c>
      <c r="H46" s="284" t="n"/>
    </row>
    <row r="47">
      <c r="A47" s="357" t="n">
        <v>370</v>
      </c>
      <c r="B47" s="361" t="n">
        <v>3734</v>
      </c>
      <c r="C47" s="241" t="inlineStr">
        <is>
          <t>אגבייב רומן</t>
        </is>
      </c>
      <c r="D47" s="359" t="n"/>
      <c r="E47" s="360" t="n">
        <v>8000</v>
      </c>
      <c r="F47" s="289" t="n"/>
      <c r="G47" s="284">
        <f>D47-E47+F47</f>
        <v/>
      </c>
      <c r="H47" s="284" t="n"/>
    </row>
    <row r="48">
      <c r="A48" s="357" t="n">
        <v>370</v>
      </c>
      <c r="B48" s="361" t="n">
        <v>3740</v>
      </c>
      <c r="C48" s="241" t="inlineStr">
        <is>
          <t>ראובן חנה</t>
        </is>
      </c>
      <c r="D48" s="359" t="n"/>
      <c r="E48" s="362" t="n">
        <v>10000</v>
      </c>
      <c r="F48" s="289" t="n"/>
      <c r="G48" s="284">
        <f>D48-E48+F48</f>
        <v/>
      </c>
      <c r="H48" s="284" t="n"/>
    </row>
    <row r="49">
      <c r="A49" s="357" t="n">
        <v>370</v>
      </c>
      <c r="B49" s="361" t="n">
        <v>3741</v>
      </c>
      <c r="C49" s="241" t="inlineStr">
        <is>
          <t>ראובן יוסי</t>
        </is>
      </c>
      <c r="D49" s="360" t="n">
        <v>5000</v>
      </c>
      <c r="E49" s="359" t="n"/>
      <c r="F49" s="289" t="n"/>
      <c r="G49" s="284">
        <f>D49-E49+F49</f>
        <v/>
      </c>
      <c r="H49" s="284" t="n"/>
    </row>
    <row r="50">
      <c r="A50" s="357" t="n">
        <v>370</v>
      </c>
      <c r="B50" s="361" t="n">
        <v>3742</v>
      </c>
      <c r="C50" s="241" t="inlineStr">
        <is>
          <t>תמיר אחרק</t>
        </is>
      </c>
      <c r="D50" s="359" t="n"/>
      <c r="E50" s="360" t="n">
        <v>9100</v>
      </c>
      <c r="F50" s="289" t="n"/>
      <c r="G50" s="284">
        <f>D50-E50+F50</f>
        <v/>
      </c>
      <c r="H50" s="284" t="n"/>
    </row>
    <row r="51">
      <c r="A51" s="357" t="n">
        <v>370</v>
      </c>
      <c r="B51" s="361" t="n">
        <v>3747</v>
      </c>
      <c r="C51" s="241" t="inlineStr">
        <is>
          <t>דניאל רטנר</t>
        </is>
      </c>
      <c r="D51" s="359" t="n"/>
      <c r="E51" s="362" t="n">
        <v>11798</v>
      </c>
      <c r="F51" s="289" t="n"/>
      <c r="G51" s="284">
        <f>D51-E51+F51</f>
        <v/>
      </c>
      <c r="H51" s="284">
        <f>SUM(G40:G51)</f>
        <v/>
      </c>
    </row>
    <row r="52">
      <c r="A52" s="294" t="n"/>
      <c r="B52" s="294" t="n"/>
      <c r="C52" s="140" t="inlineStr">
        <is>
          <t>אגף המכס והבלו</t>
        </is>
      </c>
      <c r="D52" s="294" t="n"/>
      <c r="E52" s="160" t="n"/>
      <c r="F52" s="289" t="n"/>
      <c r="G52" s="284">
        <f>D52-E52+F52</f>
        <v/>
      </c>
      <c r="H52" s="284" t="n"/>
    </row>
    <row r="53">
      <c r="A53" s="357" t="n">
        <v>500</v>
      </c>
      <c r="B53" s="361" t="n">
        <v>5000</v>
      </c>
      <c r="C53" s="241" t="inlineStr">
        <is>
          <t>מעמ תשומות</t>
        </is>
      </c>
      <c r="D53" s="364" t="n">
        <v>523.63</v>
      </c>
      <c r="E53" s="359" t="n"/>
      <c r="F53" s="289" t="n"/>
      <c r="G53" s="284">
        <f>D53-E53+F53</f>
        <v/>
      </c>
      <c r="H53" s="284" t="n"/>
    </row>
    <row r="54">
      <c r="A54" s="357" t="n">
        <v>500</v>
      </c>
      <c r="B54" s="361" t="n">
        <v>5040</v>
      </c>
      <c r="C54" s="241" t="inlineStr">
        <is>
          <t>חוז מעמ</t>
        </is>
      </c>
      <c r="D54" s="359" t="n"/>
      <c r="E54" s="362" t="n">
        <v>52211</v>
      </c>
      <c r="F54" s="289" t="n"/>
      <c r="G54" s="284">
        <f>D54-E54+F54</f>
        <v/>
      </c>
      <c r="H54" s="284" t="n"/>
    </row>
    <row r="55">
      <c r="A55" s="290" t="n"/>
      <c r="B55" s="291" t="n"/>
      <c r="C55" s="292" t="n"/>
      <c r="D55" s="304" t="n"/>
      <c r="E55" s="311" t="n"/>
      <c r="F55" s="289" t="n"/>
      <c r="G55" s="284">
        <f>D55-E55+F55</f>
        <v/>
      </c>
      <c r="H55" s="284">
        <f>SUM(G53:G55)</f>
        <v/>
      </c>
    </row>
    <row r="56">
      <c r="A56" s="294" t="n"/>
      <c r="B56" s="294" t="n"/>
      <c r="C56" s="295" t="n"/>
      <c r="D56" s="294" t="n"/>
      <c r="E56" s="160" t="n"/>
      <c r="F56" s="289" t="n"/>
      <c r="G56" s="284">
        <f>D56-E56+F56</f>
        <v/>
      </c>
      <c r="H56" s="284" t="n"/>
    </row>
    <row r="57">
      <c r="A57" s="357" t="n">
        <v>510</v>
      </c>
      <c r="B57" s="361" t="n">
        <v>5100</v>
      </c>
      <c r="C57" s="241" t="inlineStr">
        <is>
          <t>ראובן מירון</t>
        </is>
      </c>
      <c r="D57" s="359" t="n"/>
      <c r="E57" s="362" t="n">
        <v>10745.18</v>
      </c>
      <c r="F57" s="289" t="n">
        <v>23</v>
      </c>
      <c r="G57" s="284">
        <f>D57-E57+F57</f>
        <v/>
      </c>
      <c r="H57" s="284" t="n"/>
    </row>
    <row r="58">
      <c r="A58" s="294" t="n"/>
      <c r="B58" s="294" t="n"/>
      <c r="C58" s="295" t="n"/>
      <c r="D58" s="294" t="n"/>
      <c r="E58" s="160" t="n"/>
      <c r="F58" s="289" t="n"/>
      <c r="G58" s="284">
        <f>D58-E58+F58</f>
        <v/>
      </c>
      <c r="H58" s="284" t="n"/>
    </row>
    <row r="59">
      <c r="A59" s="312" t="n">
        <v>400</v>
      </c>
      <c r="B59" s="313" t="n">
        <v>4000</v>
      </c>
      <c r="C59" s="314" t="inlineStr">
        <is>
          <t>הון מניות</t>
        </is>
      </c>
      <c r="D59" s="315" t="n"/>
      <c r="E59" s="316" t="n">
        <v>100</v>
      </c>
      <c r="F59" s="289" t="n"/>
      <c r="G59" s="284">
        <f>D59-E59+F59</f>
        <v/>
      </c>
      <c r="H59" s="284" t="n"/>
    </row>
    <row r="60">
      <c r="A60" s="357" t="n">
        <v>450</v>
      </c>
      <c r="B60" s="361" t="n">
        <v>4500</v>
      </c>
      <c r="C60" s="241" t="inlineStr">
        <is>
          <t>חשבון רווח/הפסד</t>
        </is>
      </c>
      <c r="D60" s="359" t="n"/>
      <c r="E60" s="363" t="n">
        <v>947511.87</v>
      </c>
      <c r="F60" s="289" t="n">
        <v>-23</v>
      </c>
      <c r="G60" s="284">
        <f>D60-E60+F60</f>
        <v/>
      </c>
      <c r="H60" s="284" t="n"/>
    </row>
    <row r="61">
      <c r="A61" s="317" t="n"/>
      <c r="B61" s="317" t="n"/>
      <c r="C61" s="317" t="n"/>
      <c r="D61" s="317" t="n"/>
      <c r="E61" s="317" t="n"/>
      <c r="F61" s="317" t="n"/>
      <c r="G61" s="284">
        <f>D61-E61+F61</f>
        <v/>
      </c>
      <c r="H61" s="284" t="n"/>
    </row>
    <row r="62">
      <c r="A62" s="317" t="n"/>
      <c r="B62" s="317" t="n"/>
      <c r="C62" s="317" t="n"/>
      <c r="D62" s="317" t="n"/>
      <c r="E62" s="317" t="n"/>
      <c r="F62" s="317" t="n"/>
      <c r="G62" s="284">
        <f>D62-E62+F62</f>
        <v/>
      </c>
      <c r="H62" s="284" t="n"/>
    </row>
    <row r="63">
      <c r="A63" s="357" t="n">
        <v>600</v>
      </c>
      <c r="B63" s="361" t="n">
        <v>6000</v>
      </c>
      <c r="C63" s="241" t="inlineStr">
        <is>
          <t>הכנסות</t>
        </is>
      </c>
      <c r="D63" s="359" t="n"/>
      <c r="E63" s="365" t="n">
        <v>1997417.09</v>
      </c>
      <c r="F63" s="317" t="n"/>
      <c r="G63" s="284">
        <f>D63-E63+F63</f>
        <v/>
      </c>
      <c r="H63" s="284" t="n"/>
    </row>
    <row r="64">
      <c r="A64" s="357" t="n">
        <v>600</v>
      </c>
      <c r="B64" s="361" t="n">
        <v>6008</v>
      </c>
      <c r="C64" s="241" t="inlineStr">
        <is>
          <t>הכנסות מניקוי אוניות פחם - חברת החשמל</t>
        </is>
      </c>
      <c r="D64" s="359" t="n"/>
      <c r="E64" s="363" t="n">
        <v>452970.08</v>
      </c>
      <c r="F64" s="289" t="n"/>
      <c r="G64" s="284">
        <f>D64-E64+F64</f>
        <v/>
      </c>
      <c r="H64" s="284" t="n"/>
    </row>
    <row r="65">
      <c r="A65" s="285" t="n">
        <v>600</v>
      </c>
      <c r="B65" s="286" t="n">
        <v>6010</v>
      </c>
      <c r="C65" s="206" t="inlineStr">
        <is>
          <t>הכנסות - החברה הלאומית לאספקת פחם</t>
        </is>
      </c>
      <c r="D65" s="208" t="n"/>
      <c r="E65" s="299" t="n"/>
      <c r="F65" s="289" t="n"/>
      <c r="G65" s="284">
        <f>D65-E65+F65</f>
        <v/>
      </c>
      <c r="H65" s="284">
        <f>SUM(G63:G66)</f>
        <v/>
      </c>
    </row>
    <row r="66" customFormat="1" s="298">
      <c r="A66" s="285" t="n">
        <v>610</v>
      </c>
      <c r="B66" s="286" t="n">
        <v>6250</v>
      </c>
      <c r="C66" s="206" t="inlineStr">
        <is>
          <t>מכירת ציוד חייב מעמ</t>
        </is>
      </c>
      <c r="D66" s="208" t="n"/>
      <c r="E66" s="301" t="n"/>
      <c r="F66" s="289" t="n"/>
      <c r="G66" s="284">
        <f>D66-E66+F66</f>
        <v/>
      </c>
      <c r="H66" s="284" t="n"/>
    </row>
    <row r="67" customFormat="1" s="298">
      <c r="A67" s="290" t="n"/>
      <c r="B67" s="291" t="n"/>
      <c r="C67" s="292" t="n"/>
      <c r="D67" s="304" t="n"/>
      <c r="E67" s="318" t="n"/>
      <c r="F67" s="289" t="n"/>
      <c r="G67" s="284" t="n"/>
      <c r="H67" s="284" t="n"/>
    </row>
    <row r="68">
      <c r="A68" s="357" t="n">
        <v>650</v>
      </c>
      <c r="B68" s="361" t="n">
        <v>6500</v>
      </c>
      <c r="C68" s="241" t="inlineStr">
        <is>
          <t>קניות</t>
        </is>
      </c>
      <c r="D68" s="363" t="n">
        <v>162581.42</v>
      </c>
      <c r="E68" s="294" t="n"/>
      <c r="F68" s="289" t="n"/>
      <c r="G68" s="284">
        <f>D68-E68+F68</f>
        <v/>
      </c>
      <c r="H68" s="284" t="n"/>
    </row>
    <row r="69">
      <c r="A69" s="357" t="n">
        <v>660</v>
      </c>
      <c r="B69" s="361" t="n">
        <v>6600</v>
      </c>
      <c r="C69" s="241" t="inlineStr">
        <is>
          <t>קבלני משנה</t>
        </is>
      </c>
      <c r="D69" s="363" t="n">
        <v>402941.37</v>
      </c>
      <c r="E69" s="294" t="n"/>
      <c r="F69" s="289" t="n"/>
      <c r="G69" s="284">
        <f>D69-E69+F69</f>
        <v/>
      </c>
      <c r="H69" s="284" t="n"/>
    </row>
    <row r="70">
      <c r="A70" s="357" t="n">
        <v>660</v>
      </c>
      <c r="B70" s="361" t="n">
        <v>6605</v>
      </c>
      <c r="C70" s="241" t="inlineStr">
        <is>
          <t>פינוי פסולת</t>
        </is>
      </c>
      <c r="D70" s="362" t="n">
        <v>12461.53</v>
      </c>
      <c r="E70" s="294" t="n"/>
      <c r="F70" s="289" t="n"/>
      <c r="G70" s="284">
        <f>D70-E70+F70</f>
        <v/>
      </c>
      <c r="H70" s="284" t="n"/>
    </row>
    <row r="71">
      <c r="A71" s="357" t="n">
        <v>730</v>
      </c>
      <c r="B71" s="361" t="n">
        <v>7301</v>
      </c>
      <c r="C71" s="241" t="inlineStr">
        <is>
          <t>כלי עבודה</t>
        </is>
      </c>
      <c r="D71" s="362" t="n">
        <v>23736.57</v>
      </c>
      <c r="E71" s="294" t="n"/>
      <c r="F71" s="289" t="n"/>
      <c r="G71" s="284">
        <f>D71-E71+F71</f>
        <v/>
      </c>
      <c r="H71" s="284">
        <f>SUM(G68:G71)</f>
        <v/>
      </c>
    </row>
    <row r="72">
      <c r="A72" s="300" t="n"/>
      <c r="B72" s="300" t="n"/>
      <c r="C72" s="302" t="n"/>
      <c r="D72" s="170" t="n"/>
      <c r="E72" s="294" t="n"/>
      <c r="F72" s="289" t="n"/>
      <c r="G72" s="284">
        <f>D72-E72+F72</f>
        <v/>
      </c>
      <c r="H72" s="284" t="n"/>
    </row>
    <row r="73">
      <c r="A73" s="357" t="n">
        <v>650</v>
      </c>
      <c r="B73" s="361" t="n">
        <v>6400</v>
      </c>
      <c r="C73" s="241" t="inlineStr">
        <is>
          <t>מלאי פתיחה רווח והפסד</t>
        </is>
      </c>
      <c r="D73" s="362" t="n">
        <v>65797</v>
      </c>
      <c r="E73" s="300" t="n"/>
      <c r="F73" s="294" t="n"/>
      <c r="G73" s="284">
        <f>D73-E73+F73</f>
        <v/>
      </c>
      <c r="H73" s="284" t="n"/>
    </row>
    <row r="74">
      <c r="A74" s="320" t="n">
        <v>720</v>
      </c>
      <c r="B74" s="321" t="n">
        <v>6800</v>
      </c>
      <c r="C74" s="164" t="inlineStr">
        <is>
          <t>מלאי  סגירה רווח והפסד</t>
        </is>
      </c>
      <c r="D74" s="165" t="n"/>
      <c r="E74" s="322" t="n"/>
      <c r="F74" s="294" t="n">
        <v>-37488</v>
      </c>
      <c r="G74" s="284">
        <f>D74-E74+F74</f>
        <v/>
      </c>
      <c r="H74" s="284">
        <f>SUM(G73:G74)</f>
        <v/>
      </c>
    </row>
    <row r="75">
      <c r="A75" s="317" t="n"/>
      <c r="B75" s="294" t="n"/>
      <c r="C75" s="295" t="n"/>
      <c r="D75" s="294" t="n"/>
      <c r="E75" s="294" t="n"/>
      <c r="F75" s="294" t="n"/>
      <c r="G75" s="284">
        <f>D75-E75+F75</f>
        <v/>
      </c>
      <c r="H75" s="284" t="n"/>
    </row>
    <row r="76">
      <c r="A76" s="357" t="n">
        <v>700</v>
      </c>
      <c r="B76" s="361" t="n">
        <v>7000</v>
      </c>
      <c r="C76" s="241" t="inlineStr">
        <is>
          <t>שכר עבודה</t>
        </is>
      </c>
      <c r="D76" s="363" t="n">
        <v>721581</v>
      </c>
      <c r="E76" s="359" t="n"/>
      <c r="F76" s="289" t="n"/>
      <c r="G76" s="284">
        <f>D76-E76+F76</f>
        <v/>
      </c>
      <c r="H76" s="284" t="n"/>
    </row>
    <row r="77">
      <c r="A77" s="357" t="n">
        <v>700</v>
      </c>
      <c r="B77" s="361" t="n">
        <v>7001</v>
      </c>
      <c r="C77" s="241" t="inlineStr">
        <is>
          <t>סוציאליות</t>
        </is>
      </c>
      <c r="D77" s="362" t="n">
        <v>36789</v>
      </c>
      <c r="E77" s="359" t="n"/>
      <c r="F77" s="289" t="n"/>
      <c r="G77" s="284">
        <f>D77-E77+F77</f>
        <v/>
      </c>
      <c r="H77" s="284" t="n"/>
      <c r="J77" s="298">
        <f>SUM(G64:G114)</f>
        <v/>
      </c>
    </row>
    <row r="78">
      <c r="A78" s="357" t="n">
        <v>700</v>
      </c>
      <c r="B78" s="361" t="n">
        <v>7002</v>
      </c>
      <c r="C78" s="241" t="inlineStr">
        <is>
          <t>גמל מעביד</t>
        </is>
      </c>
      <c r="D78" s="362" t="n">
        <v>14763</v>
      </c>
      <c r="E78" s="359" t="n"/>
      <c r="F78" s="289" t="n"/>
      <c r="G78" s="284">
        <f>D78-E78+F78</f>
        <v/>
      </c>
      <c r="H78" s="284" t="n"/>
    </row>
    <row r="79">
      <c r="A79" s="357" t="n">
        <v>700</v>
      </c>
      <c r="B79" s="361" t="n">
        <v>7006</v>
      </c>
      <c r="C79" s="241" t="inlineStr">
        <is>
          <t>הוצ גמל פיצויים</t>
        </is>
      </c>
      <c r="D79" s="362" t="n">
        <v>18920</v>
      </c>
      <c r="E79" s="359" t="n"/>
      <c r="F79" s="289" t="n"/>
      <c r="G79" s="284">
        <f>D79-E79+F79</f>
        <v/>
      </c>
      <c r="H79" s="284" t="n"/>
    </row>
    <row r="80">
      <c r="A80" s="357" t="n">
        <v>700</v>
      </c>
      <c r="B80" s="361" t="n">
        <v>7010</v>
      </c>
      <c r="C80" s="241" t="inlineStr">
        <is>
          <t>הכנסות זקופות</t>
        </is>
      </c>
      <c r="D80" s="359" t="n"/>
      <c r="E80" s="364" t="n">
        <v>316</v>
      </c>
      <c r="F80" s="289" t="n"/>
      <c r="G80" s="284">
        <f>D80-E80+F80</f>
        <v/>
      </c>
      <c r="H80" s="284" t="n"/>
    </row>
    <row r="81">
      <c r="A81" s="357" t="n">
        <v>700</v>
      </c>
      <c r="B81" s="361" t="n">
        <v>7025</v>
      </c>
      <c r="C81" s="241" t="inlineStr">
        <is>
          <t>החזר תגמולי מילואים</t>
        </is>
      </c>
      <c r="D81" s="359" t="n"/>
      <c r="E81" s="362" t="n">
        <v>44047</v>
      </c>
      <c r="F81" s="289" t="n"/>
      <c r="G81" s="284">
        <f>D81-E81+F81</f>
        <v/>
      </c>
      <c r="H81" s="284" t="n"/>
    </row>
    <row r="82">
      <c r="A82" s="357" t="n">
        <v>720</v>
      </c>
      <c r="B82" s="361" t="n">
        <v>7209</v>
      </c>
      <c r="C82" s="241" t="inlineStr">
        <is>
          <t>ביגוד ונעלי עבודה</t>
        </is>
      </c>
      <c r="D82" s="364" t="n">
        <v>186.24</v>
      </c>
      <c r="E82" s="294" t="n"/>
      <c r="F82" s="289" t="n"/>
      <c r="G82" s="284">
        <f>D82-E82+F82</f>
        <v/>
      </c>
      <c r="H82" s="284">
        <f>SUM(G76:G82)</f>
        <v/>
      </c>
    </row>
    <row r="83">
      <c r="A83" s="294" t="n"/>
      <c r="B83" s="294" t="n"/>
      <c r="C83" s="295" t="n"/>
      <c r="D83" s="160" t="n"/>
      <c r="E83" s="294" t="n"/>
      <c r="F83" s="289" t="n"/>
      <c r="G83" s="284">
        <f>D83-E83+F83</f>
        <v/>
      </c>
      <c r="H83" s="284" t="n"/>
    </row>
    <row r="84">
      <c r="A84" s="285" t="n">
        <v>720</v>
      </c>
      <c r="B84" s="286" t="n">
        <v>7251</v>
      </c>
      <c r="C84" s="206" t="inlineStr">
        <is>
          <t>השתלמויות וקורסים</t>
        </is>
      </c>
      <c r="D84" s="301" t="n"/>
      <c r="E84" s="300" t="n"/>
      <c r="F84" s="289" t="n"/>
      <c r="G84" s="284">
        <f>D84-E84+F84</f>
        <v/>
      </c>
      <c r="H84" s="284" t="n"/>
    </row>
    <row r="85">
      <c r="A85" s="357" t="n">
        <v>720</v>
      </c>
      <c r="B85" s="361" t="n">
        <v>7200</v>
      </c>
      <c r="C85" s="241" t="inlineStr">
        <is>
          <t>משרדיות</t>
        </is>
      </c>
      <c r="D85" s="364" t="n">
        <v>123.08</v>
      </c>
      <c r="E85" s="300" t="n"/>
      <c r="F85" s="289" t="n"/>
      <c r="G85" s="284">
        <f>D85-E85+F85</f>
        <v/>
      </c>
      <c r="H85" s="284">
        <f>SUM(G84:G85)</f>
        <v/>
      </c>
    </row>
    <row r="86">
      <c r="A86" s="294" t="n"/>
      <c r="B86" s="294" t="n"/>
      <c r="C86" s="295" t="n"/>
      <c r="D86" s="160" t="n"/>
      <c r="E86" s="300" t="n"/>
      <c r="F86" s="289" t="n"/>
      <c r="G86" s="284" t="n"/>
      <c r="H86" s="284" t="n"/>
    </row>
    <row r="87">
      <c r="A87" s="357" t="n">
        <v>720</v>
      </c>
      <c r="B87" s="361" t="n">
        <v>7204</v>
      </c>
      <c r="C87" s="241" t="inlineStr">
        <is>
          <t>אגרות ורשיונות</t>
        </is>
      </c>
      <c r="D87" s="360" t="n">
        <v>1215</v>
      </c>
      <c r="E87" s="300" t="n"/>
      <c r="F87" s="289" t="n"/>
      <c r="G87" s="284">
        <f>D87-E87+F87</f>
        <v/>
      </c>
      <c r="H87" s="284">
        <f>SUM(G85:G87)</f>
        <v/>
      </c>
    </row>
    <row r="88">
      <c r="A88" s="317" t="n"/>
      <c r="B88" s="317" t="n"/>
      <c r="C88" s="317" t="n"/>
      <c r="D88" s="317" t="n"/>
      <c r="E88" s="317" t="n"/>
      <c r="F88" s="317" t="n"/>
      <c r="G88" s="284">
        <f>D88-E88+F88</f>
        <v/>
      </c>
      <c r="H88" s="284" t="n"/>
    </row>
    <row r="89">
      <c r="A89" s="330" t="n">
        <v>720</v>
      </c>
      <c r="B89" s="331" t="n">
        <v>7206</v>
      </c>
      <c r="C89" s="216" t="inlineStr">
        <is>
          <t>שכ"ט ומשפטיות</t>
        </is>
      </c>
      <c r="D89" s="334" t="n"/>
      <c r="E89" s="300" t="n"/>
      <c r="F89" s="289" t="n"/>
      <c r="G89" s="284">
        <f>D89-E89+F89</f>
        <v/>
      </c>
      <c r="H89" s="284" t="n"/>
    </row>
    <row r="90">
      <c r="A90" s="285" t="n">
        <v>720</v>
      </c>
      <c r="B90" s="286" t="n">
        <v>7250</v>
      </c>
      <c r="C90" s="206" t="inlineStr">
        <is>
          <t>הנהח וביקורת</t>
        </is>
      </c>
      <c r="D90" s="299" t="n"/>
      <c r="E90" s="300" t="n"/>
      <c r="F90" s="289" t="n"/>
      <c r="G90" s="284">
        <f>D90-E90+F90</f>
        <v/>
      </c>
      <c r="H90" s="284">
        <f>SUM(G89:G90)</f>
        <v/>
      </c>
    </row>
    <row r="91">
      <c r="A91" s="300" t="n"/>
      <c r="B91" s="300" t="n"/>
      <c r="C91" s="300" t="n"/>
      <c r="D91" s="300" t="n"/>
      <c r="E91" s="300" t="n"/>
      <c r="F91" s="289" t="n"/>
      <c r="G91" s="284">
        <f>D91-E91+F91</f>
        <v/>
      </c>
      <c r="H91" s="284" t="n"/>
    </row>
    <row r="92">
      <c r="A92" s="357" t="n">
        <v>720</v>
      </c>
      <c r="B92" s="361" t="n">
        <v>7210</v>
      </c>
      <c r="C92" s="241" t="inlineStr">
        <is>
          <t>טלפון ותקשורת</t>
        </is>
      </c>
      <c r="D92" s="360" t="n">
        <v>1432.81</v>
      </c>
      <c r="E92" s="300" t="n"/>
      <c r="F92" s="289" t="n"/>
      <c r="G92" s="284">
        <f>D92-E92+F92</f>
        <v/>
      </c>
      <c r="H92" s="284" t="n"/>
    </row>
    <row r="93">
      <c r="A93" s="300" t="n"/>
      <c r="B93" s="300" t="n"/>
      <c r="C93" s="300" t="n"/>
      <c r="D93" s="300" t="n"/>
      <c r="E93" s="300" t="n"/>
      <c r="F93" s="289" t="n"/>
      <c r="G93" s="284">
        <f>D93-E93+F93</f>
        <v/>
      </c>
      <c r="H93" s="284" t="n"/>
    </row>
    <row r="94">
      <c r="A94" s="320" t="n">
        <v>730</v>
      </c>
      <c r="B94" s="321" t="n">
        <v>7302</v>
      </c>
      <c r="C94" s="164" t="inlineStr">
        <is>
          <t>הובלות</t>
        </is>
      </c>
      <c r="D94" s="325" t="n"/>
      <c r="E94" s="300" t="n"/>
      <c r="F94" s="289" t="n"/>
      <c r="G94" s="284">
        <f>D94-E94+F94</f>
        <v/>
      </c>
      <c r="H94" s="284" t="n"/>
    </row>
    <row r="95">
      <c r="A95" s="300" t="n"/>
      <c r="B95" s="300" t="n"/>
      <c r="C95" s="300" t="n"/>
      <c r="D95" s="300" t="n"/>
      <c r="E95" s="300" t="n"/>
      <c r="F95" s="289" t="n"/>
      <c r="G95" s="284">
        <f>D95-E95+F95</f>
        <v/>
      </c>
      <c r="H95" s="284" t="n"/>
    </row>
    <row r="96">
      <c r="A96" s="357" t="n">
        <v>720</v>
      </c>
      <c r="B96" s="361" t="n">
        <v>7201</v>
      </c>
      <c r="C96" s="241" t="inlineStr">
        <is>
          <t>ביטוחים</t>
        </is>
      </c>
      <c r="D96" s="362" t="n">
        <v>33831</v>
      </c>
      <c r="E96" s="300" t="n"/>
      <c r="F96" s="289" t="n"/>
      <c r="G96" s="284">
        <f>D96-E96+F96</f>
        <v/>
      </c>
      <c r="H96" s="284" t="n"/>
    </row>
    <row r="97">
      <c r="A97" s="300" t="n">
        <v>720</v>
      </c>
      <c r="B97" s="300" t="n">
        <v>7251</v>
      </c>
      <c r="C97" s="302" t="inlineStr">
        <is>
          <t>השתלמויות וקורסים</t>
        </is>
      </c>
      <c r="D97" s="170" t="n"/>
      <c r="E97" s="300" t="n"/>
      <c r="F97" s="289" t="n"/>
      <c r="G97" s="284">
        <f>D97-E97+F97</f>
        <v/>
      </c>
      <c r="H97" s="284" t="n"/>
    </row>
    <row r="98">
      <c r="A98" s="320" t="n">
        <v>720</v>
      </c>
      <c r="B98" s="321" t="n">
        <v>7207</v>
      </c>
      <c r="C98" s="164" t="inlineStr">
        <is>
          <t>בטיחות בעבודה</t>
        </is>
      </c>
      <c r="D98" s="325" t="n"/>
      <c r="E98" s="300" t="n"/>
      <c r="F98" s="289" t="n"/>
      <c r="G98" s="284">
        <f>D98-E98+F98</f>
        <v/>
      </c>
      <c r="H98" s="284" t="n"/>
    </row>
    <row r="99">
      <c r="A99" s="285" t="n">
        <v>720</v>
      </c>
      <c r="B99" s="286" t="n">
        <v>7221</v>
      </c>
      <c r="C99" s="206" t="inlineStr">
        <is>
          <t>בדיקות תקופתיות</t>
        </is>
      </c>
      <c r="D99" s="301" t="n"/>
      <c r="E99" s="300" t="n"/>
      <c r="F99" s="289" t="n"/>
      <c r="G99" s="284">
        <f>D99-E99+F99</f>
        <v/>
      </c>
      <c r="H99" s="284" t="n"/>
    </row>
    <row r="100">
      <c r="A100" s="357" t="n">
        <v>730</v>
      </c>
      <c r="B100" s="361" t="n">
        <v>7300</v>
      </c>
      <c r="C100" s="241" t="inlineStr">
        <is>
          <t>אחזקה ותיקונים</t>
        </is>
      </c>
      <c r="D100" s="364" t="n">
        <v>555.5599999999999</v>
      </c>
      <c r="E100" s="300" t="n"/>
      <c r="F100" s="289" t="n"/>
      <c r="G100" s="284">
        <f>D100-E100+F100</f>
        <v/>
      </c>
      <c r="H100" s="284">
        <f>SUM(G98:G100)</f>
        <v/>
      </c>
    </row>
    <row r="101">
      <c r="A101" s="294" t="n">
        <v>750</v>
      </c>
      <c r="B101" s="294" t="n">
        <v>7500</v>
      </c>
      <c r="C101" s="295" t="inlineStr">
        <is>
          <t>הוצאות פחת</t>
        </is>
      </c>
      <c r="D101" s="160" t="n"/>
      <c r="E101" s="294" t="n"/>
      <c r="F101" s="289" t="n">
        <v>4780</v>
      </c>
      <c r="G101" s="284">
        <f>D101-E101+F101</f>
        <v/>
      </c>
      <c r="H101" s="284" t="n"/>
    </row>
    <row r="102">
      <c r="A102" s="294" t="n"/>
      <c r="B102" s="294" t="n"/>
      <c r="C102" s="295" t="n"/>
      <c r="D102" s="160" t="n"/>
      <c r="E102" s="294" t="n"/>
      <c r="F102" s="289" t="n"/>
      <c r="G102" s="284">
        <f>D102-E102+F102</f>
        <v/>
      </c>
      <c r="H102" s="284" t="n"/>
    </row>
    <row r="103">
      <c r="A103" s="357" t="n">
        <v>760</v>
      </c>
      <c r="B103" s="361" t="n">
        <v>7600</v>
      </c>
      <c r="C103" s="241" t="inlineStr">
        <is>
          <t>24-388-73  יונדאי דלק    (10.2016)</t>
        </is>
      </c>
      <c r="D103" s="362" t="n">
        <v>16520.66</v>
      </c>
      <c r="E103" s="294" t="n"/>
      <c r="F103" s="289" t="n"/>
      <c r="G103" s="284">
        <f>D103-E103+F103</f>
        <v/>
      </c>
      <c r="H103" s="284" t="n"/>
    </row>
    <row r="104">
      <c r="A104" s="357" t="n">
        <v>760</v>
      </c>
      <c r="B104" s="361" t="n">
        <v>7601</v>
      </c>
      <c r="C104" s="241" t="inlineStr">
        <is>
          <t>24-388-73  יונדאי הוצ שוטפות    (10.2016)</t>
        </is>
      </c>
      <c r="D104" s="360" t="n">
        <v>7265.93</v>
      </c>
      <c r="E104" s="294" t="n"/>
      <c r="F104" s="289" t="n"/>
      <c r="G104" s="284">
        <f>D104-E104+F104</f>
        <v/>
      </c>
      <c r="H104" s="284" t="n"/>
    </row>
    <row r="105">
      <c r="A105" s="357" t="n">
        <v>760</v>
      </c>
      <c r="B105" s="361" t="n">
        <v>7602</v>
      </c>
      <c r="C105" s="241" t="inlineStr">
        <is>
          <t>24-388-73  יונדאי ביטוחים    (10.2016)</t>
        </is>
      </c>
      <c r="D105" s="360" t="n">
        <v>4803</v>
      </c>
      <c r="E105" s="294" t="n"/>
      <c r="F105" s="289" t="n"/>
      <c r="G105" s="284">
        <f>D105-E105+F105</f>
        <v/>
      </c>
      <c r="H105" s="284">
        <f>SUM(G103:G105)</f>
        <v/>
      </c>
    </row>
    <row r="106">
      <c r="A106" s="300" t="n"/>
      <c r="B106" s="300" t="n"/>
      <c r="C106" s="302" t="n"/>
      <c r="D106" s="170" t="n"/>
      <c r="E106" s="300" t="n"/>
      <c r="F106" s="289" t="n"/>
      <c r="G106" s="284">
        <f>D106-E106+F106</f>
        <v/>
      </c>
      <c r="H106" s="284" t="n"/>
    </row>
    <row r="107">
      <c r="A107" s="357" t="n">
        <v>720</v>
      </c>
      <c r="B107" s="361" t="n">
        <v>7455</v>
      </c>
      <c r="C107" s="241" t="inlineStr">
        <is>
          <t>הוצאות דיבידנד</t>
        </is>
      </c>
      <c r="D107" s="363" t="n">
        <v>571428</v>
      </c>
      <c r="E107" s="300" t="n"/>
      <c r="F107" s="289" t="n"/>
      <c r="G107" s="284">
        <f>D107-E107+F107</f>
        <v/>
      </c>
      <c r="H107" s="284" t="n"/>
    </row>
    <row r="108">
      <c r="A108" s="300" t="n"/>
      <c r="B108" s="300" t="n"/>
      <c r="C108" s="302" t="inlineStr">
        <is>
          <t>הפסד הון</t>
        </is>
      </c>
      <c r="D108" s="170" t="n"/>
      <c r="E108" s="300" t="n"/>
      <c r="F108" s="289" t="n"/>
      <c r="G108" s="284">
        <f>D108-E108+F108</f>
        <v/>
      </c>
      <c r="H108" s="284" t="n"/>
    </row>
    <row r="109">
      <c r="A109" s="300" t="n"/>
      <c r="B109" s="300" t="n"/>
      <c r="C109" s="302" t="n"/>
      <c r="D109" s="170" t="n"/>
      <c r="E109" s="300" t="n"/>
      <c r="F109" s="289" t="n"/>
      <c r="G109" s="284" t="n"/>
      <c r="H109" s="284" t="n"/>
    </row>
    <row r="110">
      <c r="A110" s="357" t="n">
        <v>790</v>
      </c>
      <c r="B110" s="361" t="n">
        <v>7900</v>
      </c>
      <c r="C110" s="241" t="inlineStr">
        <is>
          <t>ריבית ועמלות בנק</t>
        </is>
      </c>
      <c r="D110" s="360" t="n">
        <v>2950.84</v>
      </c>
      <c r="E110" s="359" t="n"/>
      <c r="F110" s="289" t="n"/>
      <c r="G110" s="284">
        <f>D110-E110+F110</f>
        <v/>
      </c>
      <c r="H110" s="284" t="n"/>
    </row>
    <row r="111">
      <c r="A111" s="357" t="n">
        <v>790</v>
      </c>
      <c r="B111" s="361" t="n">
        <v>7950</v>
      </c>
      <c r="C111" s="241" t="inlineStr">
        <is>
          <t>ריבית פקדון</t>
        </is>
      </c>
      <c r="D111" s="359" t="n"/>
      <c r="E111" s="364" t="n">
        <v>406</v>
      </c>
      <c r="F111" s="289" t="n"/>
      <c r="G111" s="284">
        <f>D111-E111+F111</f>
        <v/>
      </c>
      <c r="H111" s="284" t="n"/>
    </row>
    <row r="112">
      <c r="A112" s="357" t="n">
        <v>790</v>
      </c>
      <c r="B112" s="361" t="n">
        <v>7999</v>
      </c>
      <c r="C112" s="241" t="inlineStr">
        <is>
          <t>ביטול ייתרות</t>
        </is>
      </c>
      <c r="D112" s="359" t="n"/>
      <c r="E112" s="366" t="n">
        <v>33.72</v>
      </c>
      <c r="F112" s="289" t="n"/>
      <c r="G112" s="284">
        <f>D112-E112+F112</f>
        <v/>
      </c>
      <c r="H112" s="284" t="n"/>
    </row>
    <row r="113">
      <c r="A113" s="285" t="n">
        <v>790</v>
      </c>
      <c r="B113" s="286" t="n">
        <v>7999</v>
      </c>
      <c r="C113" s="206" t="inlineStr">
        <is>
          <t>ביטול ייתרות</t>
        </is>
      </c>
      <c r="D113" s="324" t="n"/>
      <c r="E113" s="208" t="n"/>
      <c r="F113" s="289" t="n"/>
      <c r="G113" s="284">
        <f>D113-E113+F113</f>
        <v/>
      </c>
      <c r="H113" s="284" t="n"/>
    </row>
    <row r="114">
      <c r="A114" s="320" t="n"/>
      <c r="B114" s="321" t="n"/>
      <c r="C114" s="164" t="n"/>
      <c r="D114" s="327" t="n"/>
      <c r="E114" s="300" t="n"/>
      <c r="F114" s="289" t="n"/>
      <c r="G114" s="284">
        <f>D114-E114+F114</f>
        <v/>
      </c>
      <c r="H114" s="284">
        <f>SUM(G110:G113)</f>
        <v/>
      </c>
    </row>
    <row r="115">
      <c r="A115" s="320" t="n"/>
      <c r="B115" s="321" t="n"/>
      <c r="C115" s="164" t="n"/>
      <c r="D115" s="327" t="n"/>
      <c r="E115" s="165" t="n"/>
      <c r="F115" s="296" t="n"/>
      <c r="G115" s="284">
        <f>D115-E115+F115</f>
        <v/>
      </c>
      <c r="H115" s="283" t="n"/>
    </row>
    <row r="116">
      <c r="A116" s="328" t="n"/>
      <c r="B116" s="328" t="n"/>
      <c r="C116" s="329" t="n"/>
      <c r="D116" s="328">
        <f>SUM(D3:D114)</f>
        <v/>
      </c>
      <c r="E116" s="328">
        <f>SUM(E5:E114)</f>
        <v/>
      </c>
      <c r="F116" s="328">
        <f>SUM(F4:F115)</f>
        <v/>
      </c>
      <c r="G116" s="328">
        <f>SUM(G4:G115)</f>
        <v/>
      </c>
      <c r="H116" s="283" t="n"/>
    </row>
    <row r="117">
      <c r="A117" s="296" t="n"/>
      <c r="B117" s="296" t="n"/>
      <c r="C117" s="296" t="n"/>
      <c r="D117" s="296" t="n"/>
      <c r="E117" s="296" t="n"/>
      <c r="F117" s="296" t="n"/>
      <c r="G117" s="296" t="n"/>
    </row>
    <row r="118">
      <c r="A118" s="296" t="n"/>
      <c r="B118" s="296" t="n"/>
      <c r="C118" s="296" t="n"/>
      <c r="D118" s="296" t="n"/>
      <c r="E118" s="296" t="n"/>
      <c r="F118" s="296" t="n"/>
      <c r="G118" s="296" t="n"/>
    </row>
    <row r="119">
      <c r="A119" s="296" t="n"/>
      <c r="B119" s="296" t="n"/>
      <c r="C119" s="296" t="n"/>
      <c r="D119" s="296" t="n"/>
      <c r="E119" s="296" t="n"/>
      <c r="F119" s="296" t="n"/>
      <c r="G119" s="296" t="n"/>
    </row>
    <row r="120">
      <c r="A120" s="296" t="n"/>
      <c r="B120" s="296" t="n"/>
      <c r="C120" s="296" t="n"/>
      <c r="D120" s="296" t="n"/>
      <c r="E120" s="296" t="n"/>
      <c r="F120" s="296" t="n"/>
      <c r="G120" s="296" t="n"/>
    </row>
    <row r="121">
      <c r="A121" s="296" t="n"/>
      <c r="B121" s="296" t="n"/>
      <c r="C121" s="296" t="n"/>
      <c r="D121" s="296" t="n"/>
      <c r="E121" s="296" t="n"/>
      <c r="F121" s="296" t="n"/>
      <c r="G121" s="296" t="n"/>
    </row>
    <row r="122">
      <c r="A122" s="296" t="n"/>
      <c r="B122" s="296" t="n"/>
      <c r="C122" s="296" t="n"/>
      <c r="D122" s="296" t="n"/>
      <c r="E122" s="296" t="n"/>
      <c r="F122" s="296" t="n"/>
      <c r="G122" s="296" t="n"/>
    </row>
    <row r="123">
      <c r="A123" s="296" t="n"/>
      <c r="B123" s="296" t="n"/>
      <c r="C123" s="296" t="n"/>
      <c r="D123" s="296" t="n"/>
      <c r="E123" s="296" t="n"/>
      <c r="F123" s="296" t="n"/>
      <c r="G123" s="296" t="n"/>
    </row>
    <row r="124">
      <c r="A124" s="296" t="n"/>
      <c r="B124" s="296" t="n"/>
      <c r="C124" s="296" t="n"/>
      <c r="D124" s="296" t="n"/>
      <c r="E124" s="296" t="n"/>
      <c r="F124" s="296" t="n"/>
      <c r="G124" s="296" t="n"/>
    </row>
    <row r="125">
      <c r="A125" s="296" t="n"/>
      <c r="B125" s="296" t="n"/>
      <c r="C125" s="296" t="n"/>
      <c r="D125" s="296" t="n"/>
      <c r="E125" s="296" t="n"/>
      <c r="F125" s="296" t="n"/>
      <c r="G125" s="296" t="n"/>
    </row>
    <row r="126">
      <c r="A126" s="296" t="n"/>
      <c r="B126" s="296" t="n"/>
      <c r="C126" s="296" t="n"/>
      <c r="D126" s="296" t="n"/>
      <c r="E126" s="296" t="n"/>
      <c r="F126" s="296" t="n"/>
      <c r="G126" s="296" t="n"/>
    </row>
    <row r="127">
      <c r="A127" s="296" t="n"/>
      <c r="B127" s="296" t="n"/>
      <c r="C127" s="296" t="n"/>
      <c r="D127" s="296" t="n"/>
      <c r="E127" s="296" t="n"/>
      <c r="F127" s="296" t="n"/>
      <c r="G127" s="296" t="n"/>
    </row>
    <row r="128">
      <c r="A128" s="296" t="n"/>
      <c r="B128" s="296" t="n"/>
      <c r="C128" s="296" t="n"/>
      <c r="D128" s="296" t="n"/>
      <c r="E128" s="296" t="n"/>
      <c r="F128" s="296" t="n"/>
      <c r="G128" s="296" t="n"/>
    </row>
    <row r="129">
      <c r="A129" s="296" t="n"/>
      <c r="B129" s="296" t="n"/>
      <c r="C129" s="296" t="n"/>
      <c r="D129" s="296" t="n"/>
      <c r="E129" s="296" t="n"/>
      <c r="F129" s="296" t="n"/>
      <c r="G129" s="296" t="n"/>
    </row>
    <row r="130">
      <c r="A130" s="296" t="n"/>
      <c r="B130" s="296" t="n"/>
      <c r="C130" s="296" t="n"/>
      <c r="D130" s="296" t="n"/>
      <c r="E130" s="296" t="n"/>
      <c r="F130" s="296" t="n"/>
      <c r="G130" s="296" t="n"/>
    </row>
    <row r="131">
      <c r="A131" s="296" t="n"/>
      <c r="B131" s="296" t="n"/>
      <c r="C131" s="296" t="n"/>
      <c r="D131" s="296" t="n"/>
      <c r="E131" s="296" t="n"/>
      <c r="F131" s="296" t="n"/>
      <c r="G131" s="296" t="n"/>
    </row>
    <row r="132">
      <c r="A132" s="296" t="n"/>
      <c r="B132" s="296" t="n"/>
      <c r="C132" s="296" t="n"/>
      <c r="D132" s="296" t="n"/>
      <c r="E132" s="296" t="n"/>
      <c r="F132" s="296" t="n"/>
      <c r="G132" s="296" t="n"/>
    </row>
    <row r="133">
      <c r="A133" s="296" t="n"/>
      <c r="B133" s="296" t="n"/>
      <c r="C133" s="296" t="n"/>
      <c r="D133" s="296" t="n"/>
      <c r="E133" s="296" t="n"/>
      <c r="F133" s="296" t="n"/>
      <c r="G133" s="296" t="n"/>
    </row>
    <row r="134">
      <c r="A134" s="296" t="n"/>
      <c r="B134" s="296" t="n"/>
      <c r="C134" s="296" t="n"/>
      <c r="D134" s="296" t="n"/>
      <c r="E134" s="296" t="n"/>
      <c r="F134" s="296" t="n"/>
      <c r="G134" s="296" t="n"/>
    </row>
    <row r="135">
      <c r="A135" s="296" t="n"/>
      <c r="B135" s="296" t="n"/>
      <c r="C135" s="296" t="n"/>
      <c r="D135" s="296" t="n"/>
      <c r="E135" s="296" t="n"/>
      <c r="F135" s="296" t="n"/>
      <c r="G135" s="296" t="n"/>
    </row>
    <row r="136">
      <c r="A136" s="296" t="n"/>
      <c r="B136" s="296" t="n"/>
      <c r="C136" s="296" t="n"/>
      <c r="D136" s="296" t="n"/>
      <c r="E136" s="296" t="n"/>
      <c r="F136" s="296" t="n"/>
      <c r="G136" s="296" t="n"/>
    </row>
    <row r="137">
      <c r="G137" s="298" t="n"/>
    </row>
    <row r="138">
      <c r="G138" s="298" t="n"/>
    </row>
    <row r="139">
      <c r="G139" s="298" t="n"/>
    </row>
    <row r="140">
      <c r="G140" s="298" t="n"/>
    </row>
    <row r="141">
      <c r="G141" s="298" t="n"/>
    </row>
    <row r="142">
      <c r="G142" s="298" t="n"/>
    </row>
    <row r="143">
      <c r="G143" s="298" t="n"/>
    </row>
    <row r="144">
      <c r="G144" s="298" t="n"/>
    </row>
    <row r="145">
      <c r="G145" s="298" t="n"/>
    </row>
    <row r="146">
      <c r="G146" s="298" t="n"/>
    </row>
    <row r="147">
      <c r="G147" s="298" t="n"/>
    </row>
    <row r="148">
      <c r="G148" s="298" t="n"/>
    </row>
    <row r="149">
      <c r="G149" s="298" t="n"/>
    </row>
    <row r="150">
      <c r="G150" s="298" t="n"/>
    </row>
    <row r="151">
      <c r="G151" s="298" t="n"/>
    </row>
    <row r="152">
      <c r="G152" s="298" t="n"/>
    </row>
    <row r="153">
      <c r="G153" s="298" t="n"/>
    </row>
    <row r="154">
      <c r="G154" s="298" t="n"/>
    </row>
    <row r="155">
      <c r="G155" s="298" t="n"/>
    </row>
    <row r="156">
      <c r="G156" s="298" t="n"/>
    </row>
    <row r="157">
      <c r="G157" s="298" t="n"/>
    </row>
    <row r="158">
      <c r="G158" s="298" t="n"/>
    </row>
    <row r="159">
      <c r="G159" s="298" t="n"/>
    </row>
    <row r="160">
      <c r="G160" s="298" t="n"/>
    </row>
    <row r="161">
      <c r="G161" s="298" t="n"/>
    </row>
    <row r="162">
      <c r="G162" s="298" t="n"/>
    </row>
    <row r="163">
      <c r="G163" s="298" t="n"/>
    </row>
    <row r="164">
      <c r="G164" s="298" t="n"/>
    </row>
    <row r="165">
      <c r="G165" s="298" t="n"/>
    </row>
    <row r="166">
      <c r="G166" s="298" t="n"/>
    </row>
    <row r="167">
      <c r="G167" s="298" t="n"/>
    </row>
    <row r="168">
      <c r="G168" s="298" t="n"/>
    </row>
    <row r="169">
      <c r="G169" s="298" t="n"/>
    </row>
    <row r="170">
      <c r="G170" s="298" t="n"/>
    </row>
    <row r="171">
      <c r="G171" s="298" t="n"/>
    </row>
    <row r="172">
      <c r="G172" s="298" t="n"/>
    </row>
    <row r="173">
      <c r="G173" s="298" t="n"/>
    </row>
    <row r="174">
      <c r="G174" s="298" t="n"/>
    </row>
    <row r="175">
      <c r="G175" s="298" t="n"/>
    </row>
    <row r="176">
      <c r="G176" s="298" t="n"/>
    </row>
    <row r="177">
      <c r="G177" s="298" t="n"/>
    </row>
    <row r="178">
      <c r="G178" s="298" t="n"/>
    </row>
    <row r="179">
      <c r="G179" s="298" t="n"/>
    </row>
    <row r="180">
      <c r="G180" s="298" t="n"/>
    </row>
    <row r="181">
      <c r="G181" s="298" t="n"/>
    </row>
    <row r="182">
      <c r="G182" s="298" t="n"/>
    </row>
    <row r="183">
      <c r="G183" s="298" t="n"/>
    </row>
    <row r="184">
      <c r="G184" s="298" t="n"/>
    </row>
    <row r="185">
      <c r="G185" s="298" t="n"/>
    </row>
    <row r="186">
      <c r="G186" s="298" t="n"/>
    </row>
    <row r="187">
      <c r="G187" s="298" t="n"/>
    </row>
    <row r="188">
      <c r="G188" s="298" t="n"/>
    </row>
    <row r="189">
      <c r="G189" s="298" t="n"/>
    </row>
    <row r="190">
      <c r="G190" s="298" t="n"/>
    </row>
    <row r="191">
      <c r="G191" s="298" t="n"/>
    </row>
    <row r="192">
      <c r="G192" s="298" t="n"/>
    </row>
    <row r="193">
      <c r="G193" s="298" t="n"/>
    </row>
    <row r="194">
      <c r="G194" s="298" t="n"/>
    </row>
    <row r="195">
      <c r="G195" s="298" t="n"/>
    </row>
    <row r="196">
      <c r="G196" s="298" t="n"/>
    </row>
    <row r="197">
      <c r="G197" s="298" t="n"/>
    </row>
    <row r="198">
      <c r="G198" s="298" t="n"/>
    </row>
    <row r="199">
      <c r="G199" s="298" t="n"/>
    </row>
    <row r="200">
      <c r="G200" s="298" t="n"/>
    </row>
    <row r="201">
      <c r="G201" s="298" t="n"/>
    </row>
    <row r="202">
      <c r="G202" s="298" t="n"/>
    </row>
    <row r="203">
      <c r="G203" s="298" t="n"/>
    </row>
    <row r="204">
      <c r="G204" s="298" t="n"/>
    </row>
    <row r="205">
      <c r="G205" s="298" t="n"/>
    </row>
    <row r="206">
      <c r="G206" s="298" t="n"/>
    </row>
    <row r="207">
      <c r="G207" s="298" t="n"/>
    </row>
    <row r="208">
      <c r="G208" s="298" t="n"/>
    </row>
    <row r="209">
      <c r="G209" s="298" t="n"/>
    </row>
    <row r="210">
      <c r="G210" s="298" t="n"/>
    </row>
    <row r="211">
      <c r="G211" s="298" t="n"/>
    </row>
    <row r="212">
      <c r="G212" s="298" t="n"/>
    </row>
    <row r="213">
      <c r="G213" s="298" t="n"/>
    </row>
    <row r="214">
      <c r="G214" s="298" t="n"/>
    </row>
    <row r="215">
      <c r="G215" s="298" t="n"/>
    </row>
    <row r="216">
      <c r="G216" s="298" t="n"/>
    </row>
    <row r="217">
      <c r="G217" s="298" t="n"/>
    </row>
    <row r="218">
      <c r="G218" s="298" t="n"/>
    </row>
    <row r="219">
      <c r="G219" s="298" t="n"/>
    </row>
    <row r="220">
      <c r="G220" s="298" t="n"/>
    </row>
    <row r="221">
      <c r="G221" s="298" t="n"/>
    </row>
    <row r="222">
      <c r="G222" s="298" t="n"/>
    </row>
    <row r="223">
      <c r="G223" s="298" t="n"/>
    </row>
    <row r="224">
      <c r="G224" s="298" t="n"/>
    </row>
    <row r="225">
      <c r="G225" s="298" t="n"/>
    </row>
    <row r="226">
      <c r="G226" s="298" t="n"/>
    </row>
    <row r="227">
      <c r="G227" s="298" t="n"/>
    </row>
    <row r="228">
      <c r="G228" s="298" t="n"/>
    </row>
    <row r="229">
      <c r="G229" s="298" t="n"/>
    </row>
    <row r="230">
      <c r="G230" s="298" t="n"/>
    </row>
    <row r="231">
      <c r="G231" s="298" t="n"/>
    </row>
    <row r="232">
      <c r="G232" s="298" t="n"/>
    </row>
    <row r="233">
      <c r="G233" s="298" t="n"/>
    </row>
    <row r="234">
      <c r="G234" s="298" t="n"/>
    </row>
    <row r="235">
      <c r="G235" s="298" t="n"/>
    </row>
    <row r="236">
      <c r="G236" s="298" t="n"/>
    </row>
    <row r="237">
      <c r="G237" s="298" t="n"/>
    </row>
    <row r="238">
      <c r="G238" s="298" t="n"/>
    </row>
    <row r="239">
      <c r="G239" s="298" t="n"/>
    </row>
    <row r="240">
      <c r="G240" s="298" t="n"/>
    </row>
    <row r="241">
      <c r="G241" s="298" t="n"/>
    </row>
    <row r="242">
      <c r="G242" s="298" t="n"/>
    </row>
    <row r="243">
      <c r="G243" s="298" t="n"/>
    </row>
    <row r="244">
      <c r="G244" s="298" t="n"/>
    </row>
    <row r="245">
      <c r="G245" s="298" t="n"/>
    </row>
    <row r="246">
      <c r="G246" s="298" t="n"/>
    </row>
    <row r="247">
      <c r="G247" s="298" t="n"/>
    </row>
    <row r="248">
      <c r="G248" s="298" t="n"/>
    </row>
    <row r="249">
      <c r="G249" s="298" t="n"/>
    </row>
    <row r="250">
      <c r="G250" s="298" t="n"/>
    </row>
    <row r="251">
      <c r="G251" s="298" t="n"/>
    </row>
    <row r="252">
      <c r="G252" s="298" t="n"/>
    </row>
    <row r="253">
      <c r="G253" s="298" t="n"/>
    </row>
    <row r="254">
      <c r="G254" s="298" t="n"/>
    </row>
    <row r="255">
      <c r="G255" s="298" t="n"/>
    </row>
    <row r="256">
      <c r="G256" s="298" t="n"/>
    </row>
    <row r="257">
      <c r="G257" s="298" t="n"/>
    </row>
    <row r="258">
      <c r="G258" s="298" t="n"/>
    </row>
    <row r="259">
      <c r="G259" s="298" t="n"/>
    </row>
    <row r="260">
      <c r="G260" s="298" t="n"/>
    </row>
    <row r="261">
      <c r="G261" s="298" t="n"/>
    </row>
    <row r="262">
      <c r="G262" s="298" t="n"/>
    </row>
    <row r="263">
      <c r="G263" s="298" t="n"/>
    </row>
    <row r="264">
      <c r="G264" s="298" t="n"/>
    </row>
    <row r="265">
      <c r="G265" s="298" t="n"/>
    </row>
    <row r="266">
      <c r="G266" s="298" t="n"/>
    </row>
    <row r="267">
      <c r="G267" s="298" t="n"/>
    </row>
    <row r="268">
      <c r="G268" s="298" t="n"/>
    </row>
    <row r="269">
      <c r="G269" s="298" t="n"/>
    </row>
    <row r="270">
      <c r="G270" s="298" t="n"/>
    </row>
    <row r="271">
      <c r="G271" s="298" t="n"/>
    </row>
    <row r="272">
      <c r="G272" s="298" t="n"/>
    </row>
    <row r="273">
      <c r="G273" s="298" t="n"/>
    </row>
    <row r="274">
      <c r="G274" s="298" t="n"/>
    </row>
    <row r="275">
      <c r="G275" s="298" t="n"/>
    </row>
    <row r="276">
      <c r="G276" s="298" t="n"/>
    </row>
    <row r="277">
      <c r="G277" s="298" t="n"/>
    </row>
    <row r="278">
      <c r="G278" s="298" t="n"/>
    </row>
    <row r="279">
      <c r="G279" s="298" t="n"/>
    </row>
    <row r="280">
      <c r="G280" s="298" t="n"/>
    </row>
    <row r="281">
      <c r="G281" s="298" t="n"/>
    </row>
    <row r="282">
      <c r="G282" s="298" t="n"/>
    </row>
    <row r="283">
      <c r="G283" s="298" t="n"/>
    </row>
    <row r="284">
      <c r="G284" s="298" t="n"/>
    </row>
    <row r="285">
      <c r="G285" s="298" t="n"/>
    </row>
    <row r="286">
      <c r="G286" s="298" t="n"/>
    </row>
    <row r="287">
      <c r="G287" s="298" t="n"/>
    </row>
    <row r="288">
      <c r="G288" s="298" t="n"/>
    </row>
    <row r="289">
      <c r="G289" s="298" t="n"/>
    </row>
    <row r="290">
      <c r="G290" s="298" t="n"/>
    </row>
    <row r="291">
      <c r="G291" s="298" t="n"/>
    </row>
    <row r="292">
      <c r="G292" s="298" t="n"/>
    </row>
    <row r="293">
      <c r="G293" s="298" t="n"/>
    </row>
    <row r="294">
      <c r="G294" s="298" t="n"/>
    </row>
    <row r="295">
      <c r="G295" s="298" t="n"/>
    </row>
    <row r="296">
      <c r="G296" s="298" t="n"/>
    </row>
    <row r="297">
      <c r="G297" s="298" t="n"/>
    </row>
    <row r="298">
      <c r="G298" s="298" t="n"/>
    </row>
    <row r="299">
      <c r="G299" s="298" t="n"/>
    </row>
    <row r="300">
      <c r="G300" s="298" t="n"/>
    </row>
    <row r="301">
      <c r="G301" s="298" t="n"/>
    </row>
    <row r="302">
      <c r="G302" s="298" t="n"/>
    </row>
    <row r="303">
      <c r="G303" s="298" t="n"/>
    </row>
    <row r="304">
      <c r="G304" s="298" t="n"/>
    </row>
    <row r="305">
      <c r="G305" s="298" t="n"/>
    </row>
    <row r="306">
      <c r="G306" s="298" t="n"/>
    </row>
    <row r="307">
      <c r="G307" s="298" t="n"/>
    </row>
    <row r="308">
      <c r="G308" s="298" t="n"/>
    </row>
    <row r="309">
      <c r="G309" s="298" t="n"/>
    </row>
    <row r="310">
      <c r="G310" s="298" t="n"/>
    </row>
    <row r="311">
      <c r="G311" s="298" t="n"/>
    </row>
    <row r="312">
      <c r="G312" s="298" t="n"/>
    </row>
    <row r="313">
      <c r="G313" s="298" t="n"/>
    </row>
    <row r="314">
      <c r="G314" s="298" t="n"/>
    </row>
    <row r="315">
      <c r="G315" s="298" t="n"/>
    </row>
    <row r="316">
      <c r="G316" s="298" t="n"/>
    </row>
    <row r="317">
      <c r="G317" s="298" t="n"/>
    </row>
    <row r="318">
      <c r="G318" s="298" t="n"/>
    </row>
    <row r="319">
      <c r="G319" s="298" t="n"/>
    </row>
    <row r="320">
      <c r="G320" s="298" t="n"/>
    </row>
    <row r="321">
      <c r="G321" s="298" t="n"/>
    </row>
    <row r="322">
      <c r="G322" s="298" t="n"/>
    </row>
    <row r="323">
      <c r="G323" s="298" t="n"/>
    </row>
    <row r="324">
      <c r="G324" s="298" t="n"/>
    </row>
    <row r="325">
      <c r="G325" s="298" t="n"/>
    </row>
    <row r="326">
      <c r="G326" s="298" t="n"/>
    </row>
    <row r="327">
      <c r="G327" s="298" t="n"/>
    </row>
    <row r="328">
      <c r="G328" s="298" t="n"/>
    </row>
    <row r="329">
      <c r="G329" s="298" t="n"/>
    </row>
    <row r="330">
      <c r="G330" s="298" t="n"/>
    </row>
    <row r="331">
      <c r="G331" s="298" t="n"/>
    </row>
    <row r="332">
      <c r="G332" s="298" t="n"/>
    </row>
    <row r="333">
      <c r="G333" s="298" t="n"/>
    </row>
    <row r="334">
      <c r="G334" s="298" t="n"/>
    </row>
    <row r="335">
      <c r="G335" s="298" t="n"/>
    </row>
    <row r="336">
      <c r="G336" s="298" t="n"/>
    </row>
    <row r="337">
      <c r="G337" s="298" t="n"/>
    </row>
    <row r="338">
      <c r="G338" s="298" t="n"/>
    </row>
    <row r="339">
      <c r="G339" s="298" t="n"/>
    </row>
    <row r="340">
      <c r="G340" s="298" t="n"/>
    </row>
    <row r="341">
      <c r="G341" s="298" t="n"/>
    </row>
    <row r="342">
      <c r="G342" s="298" t="n"/>
    </row>
    <row r="343">
      <c r="G343" s="298" t="n"/>
    </row>
    <row r="344">
      <c r="G344" s="298" t="n"/>
    </row>
    <row r="345">
      <c r="G345" s="298" t="n"/>
    </row>
    <row r="346">
      <c r="G346" s="298" t="n"/>
    </row>
    <row r="347">
      <c r="G347" s="298" t="n"/>
    </row>
    <row r="348">
      <c r="G348" s="298" t="n"/>
    </row>
    <row r="349">
      <c r="G349" s="298" t="n"/>
    </row>
    <row r="350">
      <c r="G350" s="298" t="n"/>
    </row>
    <row r="351">
      <c r="G351" s="298" t="n"/>
    </row>
    <row r="352">
      <c r="G352" s="298" t="n"/>
    </row>
    <row r="353">
      <c r="G353" s="298" t="n"/>
    </row>
    <row r="354">
      <c r="G354" s="298" t="n"/>
    </row>
    <row r="355">
      <c r="G355" s="298" t="n"/>
    </row>
    <row r="356">
      <c r="G356" s="298" t="n"/>
    </row>
    <row r="357">
      <c r="G357" s="298" t="n"/>
    </row>
    <row r="358">
      <c r="G358" s="298" t="n"/>
    </row>
    <row r="359">
      <c r="G359" s="298" t="n"/>
    </row>
    <row r="360">
      <c r="G360" s="298" t="n"/>
    </row>
    <row r="361">
      <c r="G361" s="298" t="n"/>
    </row>
    <row r="362">
      <c r="G362" s="298" t="n"/>
    </row>
    <row r="363">
      <c r="G363" s="298" t="n"/>
    </row>
    <row r="364">
      <c r="G364" s="298" t="n"/>
    </row>
    <row r="365">
      <c r="G365" s="298" t="n"/>
    </row>
    <row r="366">
      <c r="G366" s="298" t="n"/>
    </row>
    <row r="367">
      <c r="G367" s="298" t="n"/>
    </row>
    <row r="368">
      <c r="G368" s="298" t="n"/>
    </row>
    <row r="369">
      <c r="G369" s="298" t="n"/>
    </row>
    <row r="370">
      <c r="G370" s="298" t="n"/>
    </row>
    <row r="371">
      <c r="G371" s="298" t="n"/>
    </row>
    <row r="372">
      <c r="G372" s="298" t="n"/>
    </row>
    <row r="373">
      <c r="G373" s="298" t="n"/>
    </row>
    <row r="374">
      <c r="G374" s="298" t="n"/>
    </row>
    <row r="375">
      <c r="G375" s="298" t="n"/>
    </row>
    <row r="376">
      <c r="G376" s="298" t="n"/>
    </row>
    <row r="377">
      <c r="G377" s="298" t="n"/>
    </row>
    <row r="378">
      <c r="G378" s="298" t="n"/>
    </row>
    <row r="379">
      <c r="G379" s="298" t="n"/>
    </row>
    <row r="380">
      <c r="G380" s="298" t="n"/>
    </row>
    <row r="381">
      <c r="G381" s="298" t="n"/>
    </row>
    <row r="382">
      <c r="G382" s="298" t="n"/>
    </row>
    <row r="383">
      <c r="G383" s="298" t="n"/>
    </row>
    <row r="384">
      <c r="G384" s="298" t="n"/>
    </row>
    <row r="385">
      <c r="G385" s="298" t="n"/>
    </row>
    <row r="386">
      <c r="G386" s="298" t="n"/>
    </row>
    <row r="387">
      <c r="G387" s="298" t="n"/>
    </row>
    <row r="388">
      <c r="G388" s="298" t="n"/>
    </row>
    <row r="389">
      <c r="G389" s="298"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96"/>
  <sheetViews>
    <sheetView rightToLeft="1" topLeftCell="A63" workbookViewId="0">
      <selection activeCell="B91" sqref="B91:E92"/>
    </sheetView>
  </sheetViews>
  <sheetFormatPr baseColWidth="10" defaultColWidth="9.19921875" defaultRowHeight="16"/>
  <cols>
    <col width="12" customWidth="1" style="367" min="1" max="1"/>
    <col width="9.796875" customWidth="1" style="367" min="2" max="2"/>
    <col width="15.796875" customWidth="1" style="367" min="3" max="3"/>
    <col width="22.19921875" customWidth="1" style="367" min="4" max="4"/>
    <col width="15.3984375" customWidth="1" style="251" min="5" max="7"/>
    <col width="9.19921875" customWidth="1" style="304" min="8" max="16384"/>
  </cols>
  <sheetData>
    <row r="1">
      <c r="A1" s="257" t="inlineStr">
        <is>
          <t>מירון ראובן עבודות ציבוריות בע"מ                                  ע.מ. 513831529</t>
        </is>
      </c>
      <c r="B1" s="252" t="n"/>
      <c r="C1" s="252" t="n"/>
      <c r="D1" s="252" t="n"/>
      <c r="E1" s="252" t="n"/>
      <c r="F1" s="252" t="n"/>
      <c r="G1" s="258" t="inlineStr">
        <is>
          <t>18/03/2026 14:52</t>
        </is>
      </c>
    </row>
    <row r="2" ht="20" customHeight="1" s="282">
      <c r="A2" s="259" t="inlineStr">
        <is>
          <t>מאזן בוחן</t>
        </is>
      </c>
      <c r="B2" s="252" t="n"/>
      <c r="C2" s="252" t="n"/>
      <c r="D2" s="252" t="n"/>
      <c r="E2" s="252" t="n"/>
      <c r="F2" s="252" t="n"/>
      <c r="G2" s="252" t="n"/>
    </row>
    <row r="3">
      <c r="A3" s="260" t="inlineStr">
        <is>
          <t>ת.אסמכתא בין 31/12/24-01/01/80 ת.ערך בין 31/12/29-01/01/80 ת.נוסף 3 בין 31/12/29-01/01/80</t>
        </is>
      </c>
      <c r="B3" s="252" t="n"/>
      <c r="C3" s="252" t="n"/>
      <c r="D3" s="252" t="n"/>
      <c r="E3" s="252" t="n"/>
      <c r="F3" s="252" t="n"/>
      <c r="G3" s="252" t="n"/>
    </row>
    <row r="4">
      <c r="A4" s="253" t="n"/>
      <c r="B4" s="255" t="inlineStr">
        <is>
          <t>מיון</t>
        </is>
      </c>
      <c r="C4" s="255" t="inlineStr">
        <is>
          <t>חשבון</t>
        </is>
      </c>
      <c r="D4" s="255" t="inlineStr">
        <is>
          <t>שם חשבון</t>
        </is>
      </c>
      <c r="E4" s="255" t="inlineStr">
        <is>
          <t>חובה</t>
        </is>
      </c>
      <c r="F4" s="255" t="inlineStr">
        <is>
          <t>זכות</t>
        </is>
      </c>
      <c r="G4" s="255" t="inlineStr">
        <is>
          <t>הפרש</t>
        </is>
      </c>
    </row>
    <row r="5">
      <c r="A5" s="253" t="inlineStr">
        <is>
          <t>אשראי לז"ק</t>
        </is>
      </c>
      <c r="B5" s="252" t="n"/>
      <c r="C5" s="252" t="n"/>
      <c r="D5" s="252" t="n"/>
      <c r="E5" s="252" t="n"/>
      <c r="F5" s="252" t="n"/>
      <c r="G5" s="252" t="n"/>
    </row>
    <row r="6">
      <c r="A6" s="252" t="n"/>
      <c r="B6" s="261" t="n">
        <v>110</v>
      </c>
      <c r="C6" s="261" t="inlineStr">
        <is>
          <t>1030</t>
        </is>
      </c>
      <c r="D6" s="261" t="inlineStr">
        <is>
          <t>פקדון</t>
        </is>
      </c>
      <c r="E6" s="262" t="n">
        <v>42043.13</v>
      </c>
      <c r="F6" s="252" t="n"/>
      <c r="G6" s="252" t="n"/>
    </row>
    <row r="7">
      <c r="A7" s="252" t="n"/>
      <c r="B7" s="261" t="n">
        <v>110</v>
      </c>
      <c r="C7" s="261" t="inlineStr">
        <is>
          <t>1100</t>
        </is>
      </c>
      <c r="D7" s="261" t="inlineStr">
        <is>
          <t>בנק הפועלים בע"מ</t>
        </is>
      </c>
      <c r="E7" s="262" t="n">
        <v>1061002.22</v>
      </c>
      <c r="F7" s="252" t="n"/>
      <c r="G7" s="252" t="n"/>
    </row>
    <row r="8">
      <c r="A8" s="254" t="inlineStr">
        <is>
          <t>סה"כ לקבוצה:</t>
        </is>
      </c>
      <c r="B8" s="254" t="n">
        <v>110</v>
      </c>
      <c r="C8" s="252" t="n"/>
      <c r="D8" s="252" t="n"/>
      <c r="E8" s="256" t="n">
        <v>1103045.35</v>
      </c>
      <c r="F8" s="256" t="n">
        <v>0</v>
      </c>
      <c r="G8" s="256" t="n">
        <v>-1103045.35</v>
      </c>
    </row>
    <row r="9">
      <c r="A9" s="253" t="inlineStr">
        <is>
          <t>לקוחות</t>
        </is>
      </c>
      <c r="B9" s="252" t="n"/>
      <c r="C9" s="252" t="n"/>
      <c r="D9" s="252" t="n"/>
      <c r="E9" s="252" t="n"/>
      <c r="F9" s="252" t="n"/>
      <c r="G9" s="252" t="n"/>
    </row>
    <row r="10">
      <c r="A10" s="252" t="n"/>
      <c r="B10" s="261" t="n">
        <v>200</v>
      </c>
      <c r="C10" s="261" t="inlineStr">
        <is>
          <t>2040</t>
        </is>
      </c>
      <c r="D10" s="261" t="inlineStr">
        <is>
          <t>חברת החשמל לישראל בע"מ</t>
        </is>
      </c>
      <c r="E10" s="262" t="n">
        <v>46849</v>
      </c>
      <c r="F10" s="252" t="n"/>
      <c r="G10" s="252" t="n"/>
    </row>
    <row r="11">
      <c r="A11" s="252" t="n"/>
      <c r="B11" s="261" t="n">
        <v>200</v>
      </c>
      <c r="C11" s="261" t="inlineStr">
        <is>
          <t>2080</t>
        </is>
      </c>
      <c r="D11" s="261" t="inlineStr">
        <is>
          <t>החברה הלאומית לאספקת פחם בע"מ</t>
        </is>
      </c>
      <c r="E11" s="262" t="n">
        <v>267696</v>
      </c>
      <c r="F11" s="252" t="n"/>
      <c r="G11" s="252" t="n"/>
    </row>
    <row r="12">
      <c r="A12" s="254" t="inlineStr">
        <is>
          <t>סה"כ לקבוצה:</t>
        </is>
      </c>
      <c r="B12" s="254" t="n">
        <v>200</v>
      </c>
      <c r="C12" s="252" t="n"/>
      <c r="D12" s="252" t="n"/>
      <c r="E12" s="256" t="n">
        <v>314545</v>
      </c>
      <c r="F12" s="256" t="n">
        <v>0</v>
      </c>
      <c r="G12" s="256" t="n">
        <v>-314545</v>
      </c>
    </row>
    <row r="13">
      <c r="A13" s="253" t="inlineStr">
        <is>
          <t>פקיד שומה</t>
        </is>
      </c>
      <c r="B13" s="252" t="n"/>
      <c r="C13" s="252" t="n"/>
      <c r="D13" s="252" t="n"/>
      <c r="E13" s="252" t="n"/>
      <c r="F13" s="252" t="n"/>
      <c r="G13" s="252" t="n"/>
    </row>
    <row r="14">
      <c r="A14" s="252" t="n"/>
      <c r="B14" s="261" t="n">
        <v>270</v>
      </c>
      <c r="C14" s="261" t="inlineStr">
        <is>
          <t>2700</t>
        </is>
      </c>
      <c r="D14" s="261" t="inlineStr">
        <is>
          <t>נכוי במקור - לקוחות</t>
        </is>
      </c>
      <c r="E14" s="262" t="n">
        <v>194223.23</v>
      </c>
      <c r="F14" s="252" t="n"/>
      <c r="G14" s="252" t="n"/>
    </row>
    <row r="15">
      <c r="A15" s="252" t="n"/>
      <c r="B15" s="261" t="n">
        <v>270</v>
      </c>
      <c r="C15" s="261" t="inlineStr">
        <is>
          <t>2744</t>
        </is>
      </c>
      <c r="D15" s="261" t="inlineStr">
        <is>
          <t>מס הכנסה שנים קודמות</t>
        </is>
      </c>
      <c r="E15" s="262" t="n">
        <v>5326.21</v>
      </c>
      <c r="F15" s="252" t="n"/>
      <c r="G15" s="252" t="n"/>
    </row>
    <row r="16">
      <c r="A16" s="252" t="n"/>
      <c r="B16" s="261" t="n">
        <v>270</v>
      </c>
      <c r="C16" s="261" t="inlineStr">
        <is>
          <t>2745</t>
        </is>
      </c>
      <c r="D16" s="261" t="inlineStr">
        <is>
          <t>מס הכנסה מקדמות</t>
        </is>
      </c>
      <c r="E16" s="262" t="n">
        <v>139972</v>
      </c>
      <c r="F16" s="252" t="n"/>
      <c r="G16" s="252" t="n"/>
    </row>
    <row r="17">
      <c r="A17" s="254" t="inlineStr">
        <is>
          <t>סה"כ לקבוצה:</t>
        </is>
      </c>
      <c r="B17" s="254" t="n">
        <v>270</v>
      </c>
      <c r="C17" s="252" t="n"/>
      <c r="D17" s="252" t="n"/>
      <c r="E17" s="256" t="n">
        <v>339521.44</v>
      </c>
      <c r="F17" s="256" t="n">
        <v>0</v>
      </c>
      <c r="G17" s="256" t="n">
        <v>-339521.44</v>
      </c>
    </row>
    <row r="18">
      <c r="A18" s="252" t="n"/>
      <c r="B18" s="261" t="n">
        <v>280</v>
      </c>
      <c r="C18" s="261" t="inlineStr">
        <is>
          <t>2800</t>
        </is>
      </c>
      <c r="D18" s="261" t="inlineStr">
        <is>
          <t>רכוש קבוע</t>
        </is>
      </c>
      <c r="E18" s="262" t="n">
        <v>122815.76</v>
      </c>
      <c r="F18" s="263" t="n"/>
      <c r="G18" s="252" t="n"/>
    </row>
    <row r="19">
      <c r="A19" s="252" t="n"/>
      <c r="B19" s="261" t="n">
        <v>280</v>
      </c>
      <c r="C19" s="261" t="inlineStr">
        <is>
          <t>2805</t>
        </is>
      </c>
      <c r="D19" s="261" t="inlineStr">
        <is>
          <t>כלי רכב - עלות</t>
        </is>
      </c>
      <c r="E19" s="262" t="n">
        <v>12000</v>
      </c>
      <c r="F19" s="263" t="n"/>
      <c r="G19" s="252" t="n"/>
    </row>
    <row r="20">
      <c r="A20" s="252" t="n"/>
      <c r="B20" s="261" t="n">
        <v>280</v>
      </c>
      <c r="C20" s="261" t="inlineStr">
        <is>
          <t>2850</t>
        </is>
      </c>
      <c r="D20" s="261" t="inlineStr">
        <is>
          <t>פחת נצבר</t>
        </is>
      </c>
      <c r="E20" s="263" t="n"/>
      <c r="F20" s="262" t="n">
        <v>100937</v>
      </c>
      <c r="G20" s="252" t="n"/>
    </row>
    <row r="21">
      <c r="A21" s="254" t="inlineStr">
        <is>
          <t>סה"כ לקבוצה:</t>
        </is>
      </c>
      <c r="B21" s="254" t="n">
        <v>280</v>
      </c>
      <c r="C21" s="252" t="n"/>
      <c r="D21" s="252" t="n"/>
      <c r="E21" s="256" t="n">
        <v>134815.76</v>
      </c>
      <c r="F21" s="256" t="n">
        <v>100937</v>
      </c>
      <c r="G21" s="256" t="n">
        <v>-33878.76</v>
      </c>
    </row>
    <row r="22">
      <c r="A22" s="252" t="n"/>
      <c r="B22" s="261" t="n">
        <v>290</v>
      </c>
      <c r="C22" s="261" t="inlineStr">
        <is>
          <t>2901</t>
        </is>
      </c>
      <c r="D22" s="261" t="inlineStr">
        <is>
          <t>מלאי עבודות בביצוע מאזן</t>
        </is>
      </c>
      <c r="E22" s="262" t="n">
        <v>32073.73</v>
      </c>
      <c r="F22" s="252" t="n"/>
      <c r="G22" s="252" t="n"/>
    </row>
    <row r="23">
      <c r="A23" s="254" t="inlineStr">
        <is>
          <t>סה"כ לקבוצה:</t>
        </is>
      </c>
      <c r="B23" s="254" t="inlineStr">
        <is>
          <t>2**</t>
        </is>
      </c>
      <c r="C23" s="252" t="n"/>
      <c r="D23" s="252" t="n"/>
      <c r="E23" s="256" t="n">
        <v>820955.9300000001</v>
      </c>
      <c r="F23" s="256" t="n">
        <v>100937</v>
      </c>
      <c r="G23" s="256" t="n">
        <v>-720018.9300000001</v>
      </c>
    </row>
    <row r="24">
      <c r="A24" s="253" t="inlineStr">
        <is>
          <t>ספקים</t>
        </is>
      </c>
      <c r="B24" s="252" t="n"/>
      <c r="C24" s="252" t="n"/>
      <c r="D24" s="252" t="n"/>
      <c r="E24" s="252" t="n"/>
      <c r="F24" s="252" t="n"/>
      <c r="G24" s="252" t="n"/>
    </row>
    <row r="25">
      <c r="A25" s="252" t="n"/>
      <c r="B25" s="261" t="n">
        <v>300</v>
      </c>
      <c r="C25" s="261" t="inlineStr">
        <is>
          <t>3111</t>
        </is>
      </c>
      <c r="D25" s="261" t="inlineStr">
        <is>
          <t>פ.ר. אלקטרוניקה בע"מ</t>
        </is>
      </c>
      <c r="E25" s="262" t="n">
        <v>21900</v>
      </c>
      <c r="F25" s="263" t="n"/>
      <c r="G25" s="252" t="n"/>
    </row>
    <row r="26">
      <c r="A26" s="252" t="n"/>
      <c r="B26" s="261" t="n">
        <v>300</v>
      </c>
      <c r="C26" s="261" t="inlineStr">
        <is>
          <t>3241</t>
        </is>
      </c>
      <c r="D26" s="261" t="inlineStr">
        <is>
          <t>אורלי - משאבי אנרגיה בע"מ</t>
        </is>
      </c>
      <c r="E26" s="263" t="n"/>
      <c r="F26" s="262" t="n">
        <v>1208</v>
      </c>
      <c r="G26" s="252" t="n"/>
    </row>
    <row r="27">
      <c r="A27" s="252" t="n"/>
      <c r="B27" s="261" t="n">
        <v>300</v>
      </c>
      <c r="C27" s="261" t="inlineStr">
        <is>
          <t>3712</t>
        </is>
      </c>
      <c r="D27" s="261" t="inlineStr">
        <is>
          <t>ראובן נסים</t>
        </is>
      </c>
      <c r="E27" s="263" t="n"/>
      <c r="F27" s="262" t="n">
        <v>2000</v>
      </c>
      <c r="G27" s="252" t="n"/>
    </row>
    <row r="28">
      <c r="A28" s="254" t="inlineStr">
        <is>
          <t>סה"כ לקבוצה:</t>
        </is>
      </c>
      <c r="B28" s="254" t="n">
        <v>300</v>
      </c>
      <c r="C28" s="252" t="n"/>
      <c r="D28" s="252" t="n"/>
      <c r="E28" s="256" t="n">
        <v>21900</v>
      </c>
      <c r="F28" s="256" t="n">
        <v>3208</v>
      </c>
      <c r="G28" s="256" t="n">
        <v>-18692</v>
      </c>
    </row>
    <row r="29">
      <c r="A29" s="252" t="n"/>
      <c r="B29" s="261" t="n">
        <v>351</v>
      </c>
      <c r="C29" s="261" t="inlineStr">
        <is>
          <t>0214</t>
        </is>
      </c>
      <c r="D29" s="261" t="inlineStr">
        <is>
          <t>הראל פנסיה</t>
        </is>
      </c>
      <c r="E29" s="263" t="n"/>
      <c r="F29" s="262" t="n">
        <v>1693</v>
      </c>
      <c r="G29" s="252" t="n"/>
    </row>
    <row r="30">
      <c r="A30" s="252" t="n"/>
      <c r="B30" s="261" t="n">
        <v>351</v>
      </c>
      <c r="C30" s="261" t="inlineStr">
        <is>
          <t>1328</t>
        </is>
      </c>
      <c r="D30" s="261" t="inlineStr">
        <is>
          <t>אלטשולר שחם - פנסיה</t>
        </is>
      </c>
      <c r="E30" s="263" t="n"/>
      <c r="F30" s="262" t="n">
        <v>2910</v>
      </c>
      <c r="G30" s="252" t="n"/>
    </row>
    <row r="31">
      <c r="A31" s="254" t="inlineStr">
        <is>
          <t>סה"כ לקבוצה:</t>
        </is>
      </c>
      <c r="B31" s="254" t="n">
        <v>351</v>
      </c>
      <c r="C31" s="252" t="n"/>
      <c r="D31" s="252" t="n"/>
      <c r="E31" s="256" t="n">
        <v>0</v>
      </c>
      <c r="F31" s="256" t="n">
        <v>4603</v>
      </c>
      <c r="G31" s="256" t="n">
        <v>4603</v>
      </c>
    </row>
    <row r="32">
      <c r="A32" s="253" t="inlineStr">
        <is>
          <t>חוז</t>
        </is>
      </c>
      <c r="B32" s="252" t="n"/>
      <c r="C32" s="252" t="n"/>
      <c r="D32" s="252" t="n"/>
      <c r="E32" s="252" t="n"/>
      <c r="F32" s="252" t="n"/>
      <c r="G32" s="252" t="n"/>
    </row>
    <row r="33">
      <c r="A33" s="252" t="n"/>
      <c r="B33" s="261" t="n">
        <v>360</v>
      </c>
      <c r="C33" s="261" t="inlineStr">
        <is>
          <t>3600</t>
        </is>
      </c>
      <c r="D33" s="261" t="inlineStr">
        <is>
          <t>מס הכנסה ניכויים</t>
        </is>
      </c>
      <c r="E33" s="263" t="n"/>
      <c r="F33" s="262" t="n">
        <v>18945</v>
      </c>
      <c r="G33" s="252" t="n"/>
    </row>
    <row r="34">
      <c r="A34" s="252" t="n"/>
      <c r="B34" s="261" t="n">
        <v>360</v>
      </c>
      <c r="C34" s="261" t="inlineStr">
        <is>
          <t>3610</t>
        </is>
      </c>
      <c r="D34" s="261" t="inlineStr">
        <is>
          <t>ביטוח לאומי ניכויים</t>
        </is>
      </c>
      <c r="E34" s="263" t="n"/>
      <c r="F34" s="262" t="n">
        <v>5648</v>
      </c>
      <c r="G34" s="252" t="n"/>
    </row>
    <row r="35">
      <c r="A35" s="254" t="inlineStr">
        <is>
          <t>סה"כ לקבוצה:</t>
        </is>
      </c>
      <c r="B35" s="254" t="n">
        <v>360</v>
      </c>
      <c r="C35" s="252" t="n"/>
      <c r="D35" s="252" t="n"/>
      <c r="E35" s="256" t="n">
        <v>0</v>
      </c>
      <c r="F35" s="256" t="n">
        <v>24593</v>
      </c>
      <c r="G35" s="256" t="n">
        <v>24593</v>
      </c>
    </row>
    <row r="36">
      <c r="A36" s="253" t="inlineStr">
        <is>
          <t>עובדים</t>
        </is>
      </c>
      <c r="B36" s="252" t="n"/>
      <c r="C36" s="252" t="n"/>
      <c r="D36" s="252" t="n"/>
      <c r="E36" s="252" t="n"/>
      <c r="F36" s="252" t="n"/>
      <c r="G36" s="252" t="n"/>
    </row>
    <row r="37">
      <c r="A37" s="252" t="n"/>
      <c r="B37" s="261" t="n">
        <v>370</v>
      </c>
      <c r="C37" s="261" t="inlineStr">
        <is>
          <t>3702</t>
        </is>
      </c>
      <c r="D37" s="261" t="inlineStr">
        <is>
          <t>ראובן גבי</t>
        </is>
      </c>
      <c r="E37" s="263" t="n"/>
      <c r="F37" s="262" t="n">
        <v>7100</v>
      </c>
      <c r="G37" s="252" t="n"/>
    </row>
    <row r="38">
      <c r="A38" s="252" t="n"/>
      <c r="B38" s="261" t="n">
        <v>370</v>
      </c>
      <c r="C38" s="261" t="inlineStr">
        <is>
          <t>3707</t>
        </is>
      </c>
      <c r="D38" s="261" t="inlineStr">
        <is>
          <t>ראובן לוסי</t>
        </is>
      </c>
      <c r="E38" s="263" t="n"/>
      <c r="F38" s="262" t="n">
        <v>300</v>
      </c>
      <c r="G38" s="252" t="n"/>
    </row>
    <row r="39">
      <c r="A39" s="252" t="n"/>
      <c r="B39" s="261" t="n">
        <v>370</v>
      </c>
      <c r="C39" s="261" t="inlineStr">
        <is>
          <t>3740</t>
        </is>
      </c>
      <c r="D39" s="261" t="inlineStr">
        <is>
          <t>ראובן חנה</t>
        </is>
      </c>
      <c r="E39" s="263" t="n"/>
      <c r="F39" s="262" t="n">
        <v>10000</v>
      </c>
      <c r="G39" s="252" t="n"/>
    </row>
    <row r="40">
      <c r="A40" s="252" t="n"/>
      <c r="B40" s="261" t="n">
        <v>370</v>
      </c>
      <c r="C40" s="261" t="inlineStr">
        <is>
          <t>3745</t>
        </is>
      </c>
      <c r="D40" s="261" t="inlineStr">
        <is>
          <t>ארד שני</t>
        </is>
      </c>
      <c r="E40" s="262" t="n">
        <v>12045</v>
      </c>
      <c r="F40" s="263" t="n"/>
      <c r="G40" s="252" t="n"/>
    </row>
    <row r="41">
      <c r="A41" s="252" t="n"/>
      <c r="B41" s="261" t="n">
        <v>370</v>
      </c>
      <c r="C41" s="261" t="inlineStr">
        <is>
          <t>3747</t>
        </is>
      </c>
      <c r="D41" s="261" t="inlineStr">
        <is>
          <t>דניאל רטנר</t>
        </is>
      </c>
      <c r="E41" s="262" t="n">
        <v>11657</v>
      </c>
      <c r="F41" s="263" t="n"/>
      <c r="G41" s="252" t="n"/>
    </row>
    <row r="42">
      <c r="A42" s="254" t="inlineStr">
        <is>
          <t>סה"כ לקבוצה:</t>
        </is>
      </c>
      <c r="B42" s="254" t="n">
        <v>370</v>
      </c>
      <c r="C42" s="252" t="n"/>
      <c r="D42" s="252" t="n"/>
      <c r="E42" s="256" t="n">
        <v>23702</v>
      </c>
      <c r="F42" s="256" t="n">
        <v>17400</v>
      </c>
      <c r="G42" s="256" t="n">
        <v>-6302</v>
      </c>
    </row>
    <row r="43">
      <c r="A43" s="254" t="inlineStr">
        <is>
          <t>סה"כ לקבוצה:</t>
        </is>
      </c>
      <c r="B43" s="254" t="inlineStr">
        <is>
          <t>3**</t>
        </is>
      </c>
      <c r="C43" s="252" t="n"/>
      <c r="D43" s="252" t="n"/>
      <c r="E43" s="256" t="n">
        <v>45602</v>
      </c>
      <c r="F43" s="256" t="n">
        <v>49804</v>
      </c>
      <c r="G43" s="256" t="n">
        <v>4202</v>
      </c>
    </row>
    <row r="44">
      <c r="A44" s="252" t="n"/>
      <c r="B44" s="261" t="n">
        <v>400</v>
      </c>
      <c r="C44" s="261" t="inlineStr">
        <is>
          <t>4000</t>
        </is>
      </c>
      <c r="D44" s="261" t="inlineStr">
        <is>
          <t>הון מניות</t>
        </is>
      </c>
      <c r="E44" s="263" t="n"/>
      <c r="F44" s="262" t="n">
        <v>100</v>
      </c>
      <c r="G44" s="252" t="n"/>
    </row>
    <row r="45">
      <c r="A45" s="252" t="n"/>
      <c r="B45" s="261" t="n">
        <v>450</v>
      </c>
      <c r="C45" s="261" t="inlineStr">
        <is>
          <t>4500</t>
        </is>
      </c>
      <c r="D45" s="261" t="inlineStr">
        <is>
          <t>חשבון רווח/הפסד</t>
        </is>
      </c>
      <c r="E45" s="263" t="n"/>
      <c r="F45" s="262" t="n">
        <v>1145771.75</v>
      </c>
      <c r="G45" s="252" t="n"/>
    </row>
    <row r="46">
      <c r="A46" s="254" t="inlineStr">
        <is>
          <t>סה"כ לקבוצה:</t>
        </is>
      </c>
      <c r="B46" s="254" t="inlineStr">
        <is>
          <t>4**</t>
        </is>
      </c>
      <c r="C46" s="252" t="n"/>
      <c r="D46" s="252" t="n"/>
      <c r="E46" s="256" t="n">
        <v>0</v>
      </c>
      <c r="F46" s="256" t="n">
        <v>1145871.75</v>
      </c>
      <c r="G46" s="256" t="n">
        <v>1145871.75</v>
      </c>
    </row>
    <row r="47">
      <c r="A47" s="253" t="inlineStr">
        <is>
          <t>אגף המכס והבלו</t>
        </is>
      </c>
      <c r="B47" s="252" t="n"/>
      <c r="C47" s="252" t="n"/>
      <c r="D47" s="252" t="n"/>
      <c r="E47" s="252" t="n"/>
      <c r="F47" s="252" t="n"/>
      <c r="G47" s="252" t="n"/>
    </row>
    <row r="48">
      <c r="A48" s="252" t="n"/>
      <c r="B48" s="261" t="n">
        <v>500</v>
      </c>
      <c r="C48" s="261" t="inlineStr">
        <is>
          <t>5040</t>
        </is>
      </c>
      <c r="D48" s="261" t="inlineStr">
        <is>
          <t>חוז מעמ</t>
        </is>
      </c>
      <c r="E48" s="263" t="n"/>
      <c r="F48" s="262" t="n">
        <v>62084</v>
      </c>
      <c r="G48" s="252" t="n"/>
    </row>
    <row r="49">
      <c r="A49" s="253" t="inlineStr">
        <is>
          <t>בעלי מניות</t>
        </is>
      </c>
      <c r="B49" s="252" t="n"/>
      <c r="C49" s="252" t="n"/>
      <c r="D49" s="252" t="n"/>
      <c r="E49" s="252" t="n"/>
      <c r="F49" s="252" t="n"/>
      <c r="G49" s="252" t="n"/>
    </row>
    <row r="50">
      <c r="A50" s="252" t="n"/>
      <c r="B50" s="261" t="n">
        <v>510</v>
      </c>
      <c r="C50" s="261" t="inlineStr">
        <is>
          <t>5100</t>
        </is>
      </c>
      <c r="D50" s="261" t="inlineStr">
        <is>
          <t>ראובן מירון</t>
        </is>
      </c>
      <c r="E50" s="263" t="n"/>
      <c r="F50" s="262" t="n">
        <v>2826.19</v>
      </c>
      <c r="G50" s="252" t="n"/>
    </row>
    <row r="51">
      <c r="A51" s="254" t="inlineStr">
        <is>
          <t>סה"כ לקבוצה:</t>
        </is>
      </c>
      <c r="B51" s="254" t="inlineStr">
        <is>
          <t>5**</t>
        </is>
      </c>
      <c r="C51" s="252" t="n"/>
      <c r="D51" s="252" t="n"/>
      <c r="E51" s="256" t="n">
        <v>0</v>
      </c>
      <c r="F51" s="256" t="n">
        <v>64910.19</v>
      </c>
      <c r="G51" s="256" t="n">
        <v>64910.19</v>
      </c>
    </row>
    <row r="52">
      <c r="A52" s="253" t="inlineStr">
        <is>
          <t>הכנסות</t>
        </is>
      </c>
      <c r="B52" s="252" t="n"/>
      <c r="C52" s="252" t="n"/>
      <c r="D52" s="252" t="n"/>
      <c r="E52" s="252" t="n"/>
      <c r="F52" s="252" t="n"/>
      <c r="G52" s="252" t="n"/>
    </row>
    <row r="53">
      <c r="A53" s="252" t="n"/>
      <c r="B53" s="261" t="n">
        <v>600</v>
      </c>
      <c r="C53" s="261" t="inlineStr">
        <is>
          <t>6000</t>
        </is>
      </c>
      <c r="D53" s="261" t="inlineStr">
        <is>
          <t>הכנסות</t>
        </is>
      </c>
      <c r="E53" s="263" t="n"/>
      <c r="F53" s="262" t="n">
        <v>2970854.7</v>
      </c>
      <c r="G53" s="252" t="n"/>
    </row>
    <row r="54">
      <c r="A54" s="252" t="n"/>
      <c r="B54" s="261" t="n">
        <v>600</v>
      </c>
      <c r="C54" s="261" t="inlineStr">
        <is>
          <t>6008</t>
        </is>
      </c>
      <c r="D54" s="261" t="inlineStr">
        <is>
          <t>הכנסות מניקוי אוניות פחם - חברת החשמל</t>
        </is>
      </c>
      <c r="E54" s="263" t="n"/>
      <c r="F54" s="262" t="n">
        <v>512419.65</v>
      </c>
      <c r="G54" s="252" t="n"/>
    </row>
    <row r="55">
      <c r="A55" s="254" t="inlineStr">
        <is>
          <t>סה"כ לקבוצה:</t>
        </is>
      </c>
      <c r="B55" s="254" t="n">
        <v>600</v>
      </c>
      <c r="C55" s="252" t="n"/>
      <c r="D55" s="252" t="n"/>
      <c r="E55" s="256" t="n">
        <v>0</v>
      </c>
      <c r="F55" s="256" t="n">
        <v>3483274.35</v>
      </c>
      <c r="G55" s="256" t="n">
        <v>3483274.35</v>
      </c>
    </row>
    <row r="56">
      <c r="A56" s="253" t="inlineStr">
        <is>
          <t>קניות</t>
        </is>
      </c>
      <c r="B56" s="252" t="n"/>
      <c r="C56" s="252" t="n"/>
      <c r="D56" s="252" t="n"/>
      <c r="E56" s="252" t="n"/>
      <c r="F56" s="252" t="n"/>
      <c r="G56" s="252" t="n"/>
    </row>
    <row r="57">
      <c r="A57" s="252" t="n"/>
      <c r="B57" s="261" t="n">
        <v>650</v>
      </c>
      <c r="C57" s="261" t="inlineStr">
        <is>
          <t>6400</t>
        </is>
      </c>
      <c r="D57" s="261" t="inlineStr">
        <is>
          <t>מלאי פתיחה רווח והפסד</t>
        </is>
      </c>
      <c r="E57" s="262" t="n">
        <v>37488</v>
      </c>
      <c r="F57" s="252" t="n"/>
      <c r="G57" s="252" t="n"/>
    </row>
    <row r="58">
      <c r="A58" s="252" t="n"/>
      <c r="B58" s="261" t="n">
        <v>650</v>
      </c>
      <c r="C58" s="261" t="inlineStr">
        <is>
          <t>6500</t>
        </is>
      </c>
      <c r="D58" s="261" t="inlineStr">
        <is>
          <t>קניות</t>
        </is>
      </c>
      <c r="E58" s="262" t="n">
        <v>149456.5</v>
      </c>
      <c r="F58" s="252" t="n"/>
      <c r="G58" s="252" t="n"/>
    </row>
    <row r="59">
      <c r="A59" s="254" t="inlineStr">
        <is>
          <t>סה"כ לקבוצה:</t>
        </is>
      </c>
      <c r="B59" s="254" t="n">
        <v>650</v>
      </c>
      <c r="C59" s="252" t="n"/>
      <c r="D59" s="252" t="n"/>
      <c r="E59" s="256" t="n">
        <v>186944.5</v>
      </c>
      <c r="F59" s="256" t="n">
        <v>0</v>
      </c>
      <c r="G59" s="256" t="n">
        <v>-186944.5</v>
      </c>
    </row>
    <row r="60">
      <c r="A60" s="252" t="n"/>
      <c r="B60" s="261" t="n">
        <v>660</v>
      </c>
      <c r="C60" s="261" t="inlineStr">
        <is>
          <t>6600</t>
        </is>
      </c>
      <c r="D60" s="261" t="inlineStr">
        <is>
          <t>קבלני משנה</t>
        </is>
      </c>
      <c r="E60" s="262" t="n">
        <v>191918.38</v>
      </c>
      <c r="F60" s="252" t="n"/>
      <c r="G60" s="252" t="n"/>
    </row>
    <row r="61">
      <c r="A61" s="252" t="n"/>
      <c r="B61" s="261" t="n">
        <v>660</v>
      </c>
      <c r="C61" s="261" t="inlineStr">
        <is>
          <t>6605</t>
        </is>
      </c>
      <c r="D61" s="261" t="inlineStr">
        <is>
          <t>פינוי פסולת</t>
        </is>
      </c>
      <c r="E61" s="262" t="n">
        <v>3150.43</v>
      </c>
      <c r="F61" s="252" t="n"/>
      <c r="G61" s="252" t="n"/>
    </row>
    <row r="62">
      <c r="A62" s="254" t="inlineStr">
        <is>
          <t>סה"כ לקבוצה:</t>
        </is>
      </c>
      <c r="B62" s="254" t="n">
        <v>660</v>
      </c>
      <c r="C62" s="252" t="n"/>
      <c r="D62" s="252" t="n"/>
      <c r="E62" s="256" t="n">
        <v>195068.81</v>
      </c>
      <c r="F62" s="256" t="n">
        <v>0</v>
      </c>
      <c r="G62" s="256" t="n">
        <v>-195068.81</v>
      </c>
    </row>
    <row r="63">
      <c r="A63" s="252" t="n"/>
      <c r="B63" s="261" t="n">
        <v>670</v>
      </c>
      <c r="C63" s="261" t="inlineStr">
        <is>
          <t>6800</t>
        </is>
      </c>
      <c r="D63" s="261" t="inlineStr">
        <is>
          <t>מלאי  סגירה רווח והפסד</t>
        </is>
      </c>
      <c r="E63" s="263" t="n"/>
      <c r="F63" s="262" t="n">
        <v>32073.73</v>
      </c>
      <c r="G63" s="252" t="n"/>
    </row>
    <row r="64">
      <c r="A64" s="254" t="inlineStr">
        <is>
          <t>סה"כ לקבוצה:</t>
        </is>
      </c>
      <c r="B64" s="254" t="inlineStr">
        <is>
          <t>6**</t>
        </is>
      </c>
      <c r="C64" s="252" t="n"/>
      <c r="D64" s="252" t="n"/>
      <c r="E64" s="256" t="n">
        <v>382013.31</v>
      </c>
      <c r="F64" s="256" t="n">
        <v>3515348.08</v>
      </c>
      <c r="G64" s="256" t="n">
        <v>3133334.77</v>
      </c>
    </row>
    <row r="65">
      <c r="A65" s="253" t="inlineStr">
        <is>
          <t>שכר עבודה</t>
        </is>
      </c>
      <c r="B65" s="252" t="n"/>
      <c r="C65" s="252" t="n"/>
      <c r="D65" s="252" t="n"/>
      <c r="E65" s="252" t="n"/>
      <c r="F65" s="252" t="n"/>
      <c r="G65" s="252" t="n"/>
    </row>
    <row r="66">
      <c r="A66" s="252" t="n"/>
      <c r="B66" s="261" t="n">
        <v>700</v>
      </c>
      <c r="C66" s="261" t="inlineStr">
        <is>
          <t>7000</t>
        </is>
      </c>
      <c r="D66" s="261" t="inlineStr">
        <is>
          <t>שכר עבודה</t>
        </is>
      </c>
      <c r="E66" s="262" t="n">
        <v>1158257</v>
      </c>
      <c r="F66" s="263" t="n"/>
      <c r="G66" s="252" t="n"/>
    </row>
    <row r="67">
      <c r="A67" s="252" t="n"/>
      <c r="B67" s="261" t="n">
        <v>700</v>
      </c>
      <c r="C67" s="261" t="inlineStr">
        <is>
          <t>7001</t>
        </is>
      </c>
      <c r="D67" s="261" t="inlineStr">
        <is>
          <t>סוציאליות</t>
        </is>
      </c>
      <c r="E67" s="262" t="n">
        <v>61731</v>
      </c>
      <c r="F67" s="263" t="n"/>
      <c r="G67" s="252" t="n"/>
    </row>
    <row r="68">
      <c r="A68" s="252" t="n"/>
      <c r="B68" s="261" t="n">
        <v>700</v>
      </c>
      <c r="C68" s="261" t="inlineStr">
        <is>
          <t>7002</t>
        </is>
      </c>
      <c r="D68" s="261" t="inlineStr">
        <is>
          <t>גמל מעביד</t>
        </is>
      </c>
      <c r="E68" s="262" t="n">
        <v>24340</v>
      </c>
      <c r="F68" s="263" t="n"/>
      <c r="G68" s="252" t="n"/>
    </row>
    <row r="69">
      <c r="A69" s="252" t="n"/>
      <c r="B69" s="261" t="n">
        <v>700</v>
      </c>
      <c r="C69" s="261" t="inlineStr">
        <is>
          <t>7006</t>
        </is>
      </c>
      <c r="D69" s="261" t="inlineStr">
        <is>
          <t>הוצ גמל פיצויים</t>
        </is>
      </c>
      <c r="E69" s="262" t="n">
        <v>31192</v>
      </c>
      <c r="F69" s="263" t="n"/>
      <c r="G69" s="252" t="n"/>
    </row>
    <row r="70">
      <c r="A70" s="252" t="n"/>
      <c r="B70" s="261" t="n">
        <v>700</v>
      </c>
      <c r="C70" s="261" t="inlineStr">
        <is>
          <t>7025</t>
        </is>
      </c>
      <c r="D70" s="261" t="inlineStr">
        <is>
          <t>החזר תגמולי מילואים</t>
        </is>
      </c>
      <c r="E70" s="263" t="n"/>
      <c r="F70" s="262" t="n">
        <v>20994</v>
      </c>
      <c r="G70" s="252" t="n"/>
    </row>
    <row r="71">
      <c r="A71" s="254" t="inlineStr">
        <is>
          <t>סה"כ לקבוצה:</t>
        </is>
      </c>
      <c r="B71" s="254" t="n">
        <v>700</v>
      </c>
      <c r="C71" s="252" t="n"/>
      <c r="D71" s="252" t="n"/>
      <c r="E71" s="256" t="n">
        <v>1275520</v>
      </c>
      <c r="F71" s="256" t="n">
        <v>20994</v>
      </c>
      <c r="G71" s="256" t="n">
        <v>-1254526</v>
      </c>
    </row>
    <row r="72">
      <c r="A72" s="253" t="inlineStr">
        <is>
          <t>הוצאות הנהלה וכלליות</t>
        </is>
      </c>
      <c r="B72" s="252" t="n"/>
      <c r="C72" s="252" t="n"/>
      <c r="D72" s="252" t="n"/>
      <c r="E72" s="252" t="n"/>
      <c r="F72" s="252" t="n"/>
      <c r="G72" s="252" t="n"/>
    </row>
    <row r="73">
      <c r="A73" s="252" t="n"/>
      <c r="B73" s="261" t="n">
        <v>720</v>
      </c>
      <c r="C73" s="261" t="inlineStr">
        <is>
          <t>7200</t>
        </is>
      </c>
      <c r="D73" s="261" t="inlineStr">
        <is>
          <t>משרדיות</t>
        </is>
      </c>
      <c r="E73" s="262" t="n">
        <v>598.29</v>
      </c>
      <c r="F73" s="252" t="n"/>
      <c r="G73" s="252" t="n"/>
    </row>
    <row r="74">
      <c r="A74" s="252" t="n"/>
      <c r="B74" s="261" t="n">
        <v>720</v>
      </c>
      <c r="C74" s="261" t="inlineStr">
        <is>
          <t>7201</t>
        </is>
      </c>
      <c r="D74" s="261" t="inlineStr">
        <is>
          <t>ביטוחים</t>
        </is>
      </c>
      <c r="E74" s="262" t="n">
        <v>34246</v>
      </c>
      <c r="F74" s="252" t="n"/>
      <c r="G74" s="252" t="n"/>
    </row>
    <row r="75">
      <c r="A75" s="252" t="n"/>
      <c r="B75" s="261" t="n">
        <v>720</v>
      </c>
      <c r="C75" s="261" t="inlineStr">
        <is>
          <t>7204</t>
        </is>
      </c>
      <c r="D75" s="261" t="inlineStr">
        <is>
          <t>אגרות ורשיונות</t>
        </is>
      </c>
      <c r="E75" s="262" t="n">
        <v>5000</v>
      </c>
      <c r="F75" s="252" t="n"/>
      <c r="G75" s="252" t="n"/>
    </row>
    <row r="76">
      <c r="A76" s="252" t="n"/>
      <c r="B76" s="261" t="n">
        <v>720</v>
      </c>
      <c r="C76" s="261" t="inlineStr">
        <is>
          <t>7210</t>
        </is>
      </c>
      <c r="D76" s="261" t="inlineStr">
        <is>
          <t>טלפון ותקשורת</t>
        </is>
      </c>
      <c r="E76" s="262" t="n">
        <v>1881.86</v>
      </c>
      <c r="F76" s="252" t="n"/>
      <c r="G76" s="252" t="n"/>
    </row>
    <row r="77">
      <c r="A77" s="252" t="n"/>
      <c r="B77" s="261" t="n">
        <v>720</v>
      </c>
      <c r="C77" s="261" t="inlineStr">
        <is>
          <t>7221</t>
        </is>
      </c>
      <c r="D77" s="261" t="inlineStr">
        <is>
          <t>בדיקות תקופתיות</t>
        </is>
      </c>
      <c r="E77" s="262" t="n">
        <v>870</v>
      </c>
      <c r="F77" s="252" t="n"/>
      <c r="G77" s="252" t="n"/>
    </row>
    <row r="78">
      <c r="A78" s="252" t="n"/>
      <c r="B78" s="261" t="n">
        <v>720</v>
      </c>
      <c r="C78" s="261" t="inlineStr">
        <is>
          <t>7251</t>
        </is>
      </c>
      <c r="D78" s="261" t="inlineStr">
        <is>
          <t>השתלמויות וקורסים</t>
        </is>
      </c>
      <c r="E78" s="262" t="n">
        <v>500</v>
      </c>
      <c r="F78" s="252" t="n"/>
      <c r="G78" s="252" t="n"/>
    </row>
    <row r="79">
      <c r="A79" s="252" t="n"/>
      <c r="B79" s="261" t="n">
        <v>720</v>
      </c>
      <c r="C79" s="261" t="inlineStr">
        <is>
          <t>7455</t>
        </is>
      </c>
      <c r="D79" s="261" t="inlineStr">
        <is>
          <t>הוצאות דיבידנד</t>
        </is>
      </c>
      <c r="E79" s="262" t="n">
        <v>1197014</v>
      </c>
      <c r="F79" s="252" t="n"/>
      <c r="G79" s="252" t="n"/>
    </row>
    <row r="80">
      <c r="A80" s="254" t="inlineStr">
        <is>
          <t>סה"כ לקבוצה:</t>
        </is>
      </c>
      <c r="B80" s="254" t="n">
        <v>720</v>
      </c>
      <c r="C80" s="252" t="n"/>
      <c r="D80" s="252" t="n"/>
      <c r="E80" s="256" t="n">
        <v>1240110.15</v>
      </c>
      <c r="F80" s="256" t="n">
        <v>0</v>
      </c>
      <c r="G80" s="256" t="n">
        <v>-1240110.15</v>
      </c>
    </row>
    <row r="81">
      <c r="A81" s="252" t="n"/>
      <c r="B81" s="261" t="n">
        <v>730</v>
      </c>
      <c r="C81" s="261" t="inlineStr">
        <is>
          <t>7300</t>
        </is>
      </c>
      <c r="D81" s="261" t="inlineStr">
        <is>
          <t>אחזקה ותיקונים</t>
        </is>
      </c>
      <c r="E81" s="262" t="n">
        <v>2716.59</v>
      </c>
      <c r="F81" s="252" t="n"/>
      <c r="G81" s="252" t="n"/>
    </row>
    <row r="82">
      <c r="A82" s="252" t="n"/>
      <c r="B82" s="261" t="n">
        <v>730</v>
      </c>
      <c r="C82" s="261" t="inlineStr">
        <is>
          <t>7301</t>
        </is>
      </c>
      <c r="D82" s="261" t="inlineStr">
        <is>
          <t>כלי עבודה</t>
        </is>
      </c>
      <c r="E82" s="262" t="n">
        <v>777.35</v>
      </c>
      <c r="F82" s="252" t="n"/>
      <c r="G82" s="252" t="n"/>
    </row>
    <row r="83">
      <c r="A83" s="254" t="inlineStr">
        <is>
          <t>סה"כ לקבוצה:</t>
        </is>
      </c>
      <c r="B83" s="254" t="n">
        <v>730</v>
      </c>
      <c r="C83" s="252" t="n"/>
      <c r="D83" s="252" t="n"/>
      <c r="E83" s="256" t="n">
        <v>3493.94</v>
      </c>
      <c r="F83" s="256" t="n">
        <v>0</v>
      </c>
      <c r="G83" s="256" t="n">
        <v>-3493.94</v>
      </c>
    </row>
    <row r="84">
      <c r="A84" s="253" t="inlineStr">
        <is>
          <t>אחזקת רכב</t>
        </is>
      </c>
      <c r="B84" s="252" t="n"/>
      <c r="C84" s="252" t="n"/>
      <c r="D84" s="252" t="n"/>
      <c r="E84" s="252" t="n"/>
      <c r="F84" s="252" t="n"/>
      <c r="G84" s="252" t="n"/>
    </row>
    <row r="85">
      <c r="A85" s="252" t="n"/>
      <c r="B85" s="261" t="n">
        <v>760</v>
      </c>
      <c r="C85" s="261" t="inlineStr">
        <is>
          <t>7600</t>
        </is>
      </c>
      <c r="D85" s="261" t="inlineStr">
        <is>
          <t>24-388-73  יונדאי דלק    (10.2016)</t>
        </is>
      </c>
      <c r="E85" s="262" t="n">
        <v>15677.56</v>
      </c>
      <c r="F85" s="252" t="n"/>
      <c r="G85" s="252" t="n"/>
    </row>
    <row r="86">
      <c r="A86" s="252" t="n"/>
      <c r="B86" s="261" t="n">
        <v>760</v>
      </c>
      <c r="C86" s="261" t="inlineStr">
        <is>
          <t>7601</t>
        </is>
      </c>
      <c r="D86" s="261" t="inlineStr">
        <is>
          <t>24-388-73  יונדאי הוצ שוטפות    (10.2016)</t>
        </is>
      </c>
      <c r="E86" s="262" t="n">
        <v>728.86</v>
      </c>
      <c r="F86" s="252" t="n"/>
      <c r="G86" s="252" t="n"/>
    </row>
    <row r="87">
      <c r="A87" s="252" t="n"/>
      <c r="B87" s="261" t="n">
        <v>760</v>
      </c>
      <c r="C87" s="261" t="inlineStr">
        <is>
          <t>7602</t>
        </is>
      </c>
      <c r="D87" s="261" t="inlineStr">
        <is>
          <t>24-388-73  יונדאי ביטוחים    (10.2016)</t>
        </is>
      </c>
      <c r="E87" s="262" t="n">
        <v>4559</v>
      </c>
      <c r="F87" s="252" t="n"/>
      <c r="G87" s="252" t="n"/>
    </row>
    <row r="88">
      <c r="A88" s="252" t="n"/>
      <c r="B88" s="261" t="n">
        <v>760</v>
      </c>
      <c r="C88" s="261" t="inlineStr">
        <is>
          <t>7681</t>
        </is>
      </c>
      <c r="D88" s="261" t="inlineStr">
        <is>
          <t>98-148-63  הוצ שוטפות סוזוקי (09.2024)</t>
        </is>
      </c>
      <c r="E88" s="262" t="n">
        <v>4028.85</v>
      </c>
      <c r="F88" s="252" t="n"/>
      <c r="G88" s="252" t="n"/>
    </row>
    <row r="89">
      <c r="A89" s="254" t="inlineStr">
        <is>
          <t>סה"כ לקבוצה:</t>
        </is>
      </c>
      <c r="B89" s="254" t="n">
        <v>760</v>
      </c>
      <c r="C89" s="252" t="n"/>
      <c r="D89" s="252" t="n"/>
      <c r="E89" s="256" t="n">
        <v>24994.27</v>
      </c>
      <c r="F89" s="256" t="n">
        <v>0</v>
      </c>
      <c r="G89" s="256" t="n">
        <v>-24994.27</v>
      </c>
    </row>
    <row r="90">
      <c r="A90" s="253" t="inlineStr">
        <is>
          <t>מימון</t>
        </is>
      </c>
      <c r="B90" s="252" t="n"/>
      <c r="C90" s="252" t="n"/>
      <c r="D90" s="252" t="n"/>
      <c r="E90" s="252" t="n"/>
      <c r="F90" s="252" t="n"/>
      <c r="G90" s="252" t="n"/>
    </row>
    <row r="91">
      <c r="A91" s="252" t="n"/>
      <c r="B91" s="261" t="n">
        <v>790</v>
      </c>
      <c r="C91" s="261" t="inlineStr">
        <is>
          <t>7900</t>
        </is>
      </c>
      <c r="D91" s="261" t="inlineStr">
        <is>
          <t>ריבית ועמלות בנק</t>
        </is>
      </c>
      <c r="E91" s="262" t="n">
        <v>2112.46</v>
      </c>
      <c r="F91" s="252" t="n"/>
      <c r="G91" s="252" t="n"/>
    </row>
    <row r="92">
      <c r="A92" s="252" t="n"/>
      <c r="B92" s="261" t="n">
        <v>790</v>
      </c>
      <c r="C92" s="261" t="inlineStr">
        <is>
          <t>7999</t>
        </is>
      </c>
      <c r="D92" s="261" t="inlineStr">
        <is>
          <t>ביטול ייתרות</t>
        </is>
      </c>
      <c r="E92" s="262" t="n">
        <v>17.61</v>
      </c>
      <c r="F92" s="252" t="n"/>
      <c r="G92" s="252" t="n"/>
    </row>
    <row r="93">
      <c r="A93" s="254" t="inlineStr">
        <is>
          <t>סה"כ לקבוצה:</t>
        </is>
      </c>
      <c r="B93" s="254" t="n">
        <v>790</v>
      </c>
      <c r="C93" s="252" t="n"/>
      <c r="D93" s="252" t="n"/>
      <c r="E93" s="256" t="n">
        <v>2130.07</v>
      </c>
      <c r="F93" s="256" t="n">
        <v>0</v>
      </c>
      <c r="G93" s="256" t="n">
        <v>-2130.07</v>
      </c>
    </row>
    <row r="94">
      <c r="A94" s="254" t="inlineStr">
        <is>
          <t>סה"כ לקבוצה:</t>
        </is>
      </c>
      <c r="B94" s="254" t="inlineStr">
        <is>
          <t>7**</t>
        </is>
      </c>
      <c r="C94" s="252" t="n"/>
      <c r="D94" s="252" t="n"/>
      <c r="E94" s="256" t="n">
        <v>2546248.43</v>
      </c>
      <c r="F94" s="256" t="n">
        <v>20994</v>
      </c>
      <c r="G94" s="256" t="n">
        <v>-2525254.43</v>
      </c>
    </row>
    <row r="95">
      <c r="A95" s="254" t="inlineStr">
        <is>
          <t>סה"כ לקבוצה:</t>
        </is>
      </c>
      <c r="B95" s="254" t="inlineStr">
        <is>
          <t>***</t>
        </is>
      </c>
      <c r="C95" s="252" t="n"/>
      <c r="D95" s="252" t="n"/>
      <c r="E95" s="256" t="n">
        <v>4897865.02</v>
      </c>
      <c r="F95" s="256" t="n">
        <v>4897865.02</v>
      </c>
      <c r="G95" s="256" t="n">
        <v>0</v>
      </c>
    </row>
    <row r="96">
      <c r="A96" s="254" t="inlineStr">
        <is>
          <t>סה"כ לדו"ח:</t>
        </is>
      </c>
      <c r="B96" s="252" t="n"/>
      <c r="C96" s="252" t="n"/>
      <c r="D96" s="252" t="n"/>
      <c r="E96" s="256" t="n">
        <v>4897865.02</v>
      </c>
      <c r="F96" s="256" t="n">
        <v>4897865.02</v>
      </c>
      <c r="G96" s="256"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2024</t>
        </is>
      </c>
    </row>
    <row r="2">
      <c r="A2" t="inlineStr">
        <is>
          <t>קבוצה</t>
        </is>
      </c>
      <c r="B2" t="inlineStr">
        <is>
          <t>מס' כרטיס</t>
        </is>
      </c>
      <c r="C2" t="inlineStr">
        <is>
          <t>פרטים</t>
        </is>
      </c>
      <c r="D2" t="inlineStr">
        <is>
          <t>חובה</t>
        </is>
      </c>
      <c r="E2" t="inlineStr">
        <is>
          <t>זכות</t>
        </is>
      </c>
      <c r="F2" t="inlineStr">
        <is>
          <t>פ.נ</t>
        </is>
      </c>
      <c r="G2" t="inlineStr">
        <is>
          <t>יתרה</t>
        </is>
      </c>
      <c r="H2" t="inlineStr">
        <is>
          <t>הערות</t>
        </is>
      </c>
    </row>
    <row r="3">
      <c r="C3" t="inlineStr">
        <is>
          <t>אשראי לז"ק</t>
        </is>
      </c>
    </row>
    <row r="4">
      <c r="A4" t="inlineStr">
        <is>
          <t>110</t>
        </is>
      </c>
      <c r="B4" t="inlineStr">
        <is>
          <t>1030</t>
        </is>
      </c>
      <c r="C4" t="inlineStr">
        <is>
          <t>פקדון</t>
        </is>
      </c>
      <c r="D4" t="n">
        <v>42043.13</v>
      </c>
      <c r="F4" t="n">
        <v>41812.86</v>
      </c>
      <c r="G4">
        <f>F4+D4-E4</f>
        <v/>
      </c>
    </row>
    <row r="5">
      <c r="A5" t="inlineStr">
        <is>
          <t>110</t>
        </is>
      </c>
      <c r="B5" t="inlineStr">
        <is>
          <t>1100</t>
        </is>
      </c>
      <c r="C5" t="inlineStr">
        <is>
          <t>בנק הפועלים בע"מ</t>
        </is>
      </c>
      <c r="D5" t="n">
        <v>1061002.22</v>
      </c>
      <c r="F5" t="n">
        <v>945729.3199999999</v>
      </c>
      <c r="G5">
        <f>F5+D5-E5</f>
        <v/>
      </c>
    </row>
    <row r="6">
      <c r="C6" t="inlineStr">
        <is>
          <t>סה"כ לקבוצה:</t>
        </is>
      </c>
      <c r="D6" t="n">
        <v>1103045.35</v>
      </c>
    </row>
    <row r="7">
      <c r="C7" t="inlineStr">
        <is>
          <t>לקוחות</t>
        </is>
      </c>
    </row>
    <row r="8">
      <c r="A8" t="inlineStr">
        <is>
          <t>200</t>
        </is>
      </c>
      <c r="B8" t="inlineStr">
        <is>
          <t>2040</t>
        </is>
      </c>
      <c r="C8" t="inlineStr">
        <is>
          <t>חברת החשמל לישראל בע"מ</t>
        </is>
      </c>
      <c r="D8" t="n">
        <v>46849</v>
      </c>
      <c r="F8" t="n">
        <v>43913</v>
      </c>
      <c r="G8">
        <f>F8+D8-E8</f>
        <v/>
      </c>
    </row>
    <row r="9">
      <c r="A9" t="inlineStr">
        <is>
          <t>200</t>
        </is>
      </c>
      <c r="B9" t="inlineStr">
        <is>
          <t>2080</t>
        </is>
      </c>
      <c r="C9" t="inlineStr">
        <is>
          <t>החברה הלאומית לאספקת פחם בע"מ</t>
        </is>
      </c>
      <c r="D9" t="n">
        <v>267696</v>
      </c>
      <c r="F9" t="n">
        <v>196560</v>
      </c>
      <c r="G9">
        <f>F9+D9-E9</f>
        <v/>
      </c>
    </row>
    <row r="10">
      <c r="C10" t="inlineStr">
        <is>
          <t>סה"כ לקבוצה:</t>
        </is>
      </c>
      <c r="D10" t="n">
        <v>314545</v>
      </c>
    </row>
    <row r="11">
      <c r="C11" t="inlineStr">
        <is>
          <t>פקיד שומה</t>
        </is>
      </c>
    </row>
    <row r="12">
      <c r="A12" t="inlineStr">
        <is>
          <t>270</t>
        </is>
      </c>
      <c r="B12" t="inlineStr">
        <is>
          <t>2700</t>
        </is>
      </c>
      <c r="C12" t="inlineStr">
        <is>
          <t>נכוי במקור - לקוחות</t>
        </is>
      </c>
      <c r="D12" t="n">
        <v>194223.23</v>
      </c>
      <c r="F12" t="n">
        <v>115686.68</v>
      </c>
      <c r="G12">
        <f>F12+D12-E12</f>
        <v/>
      </c>
    </row>
    <row r="13">
      <c r="A13" t="inlineStr">
        <is>
          <t>270</t>
        </is>
      </c>
      <c r="B13" t="inlineStr">
        <is>
          <t>2744</t>
        </is>
      </c>
      <c r="C13" t="inlineStr">
        <is>
          <t>מס הכנסה שנים קודמות</t>
        </is>
      </c>
      <c r="D13" t="n">
        <v>5326.21</v>
      </c>
      <c r="F13" t="n">
        <v>4096.53</v>
      </c>
      <c r="G13">
        <f>F13+D13-E13</f>
        <v/>
      </c>
    </row>
    <row r="14">
      <c r="A14" t="inlineStr">
        <is>
          <t>270</t>
        </is>
      </c>
      <c r="B14" t="inlineStr">
        <is>
          <t>2745</t>
        </is>
      </c>
      <c r="C14" t="inlineStr">
        <is>
          <t>מס הכנסה מקדמות</t>
        </is>
      </c>
      <c r="D14" t="n">
        <v>139972</v>
      </c>
      <c r="F14" t="n">
        <v>115321</v>
      </c>
      <c r="G14">
        <f>F14+D14-E14</f>
        <v/>
      </c>
    </row>
    <row r="15">
      <c r="C15" t="inlineStr">
        <is>
          <t>סה"כ לקבוצה:</t>
        </is>
      </c>
      <c r="D15" t="n">
        <v>339521.44</v>
      </c>
    </row>
    <row r="16">
      <c r="A16" t="inlineStr">
        <is>
          <t>280</t>
        </is>
      </c>
      <c r="B16" t="inlineStr">
        <is>
          <t>2800</t>
        </is>
      </c>
      <c r="C16" t="inlineStr">
        <is>
          <t>רכוש קבוע</t>
        </is>
      </c>
      <c r="D16" t="n">
        <v>122815.76</v>
      </c>
      <c r="F16" t="n">
        <v>122815.76</v>
      </c>
      <c r="G16">
        <f>F16+D16-E16</f>
        <v/>
      </c>
    </row>
    <row r="17">
      <c r="A17" t="inlineStr">
        <is>
          <t>280</t>
        </is>
      </c>
      <c r="B17" t="inlineStr">
        <is>
          <t>2805</t>
        </is>
      </c>
      <c r="C17" t="inlineStr">
        <is>
          <t>כלי רכב - עלות</t>
        </is>
      </c>
      <c r="D17" t="n">
        <v>12000</v>
      </c>
      <c r="F17" t="n">
        <v>0</v>
      </c>
      <c r="G17">
        <f>F17+D17-E17</f>
        <v/>
      </c>
    </row>
    <row r="18">
      <c r="A18" t="inlineStr">
        <is>
          <t>280</t>
        </is>
      </c>
      <c r="B18" t="inlineStr">
        <is>
          <t>2850</t>
        </is>
      </c>
      <c r="C18" t="inlineStr">
        <is>
          <t>פחת נצבר</t>
        </is>
      </c>
      <c r="E18" t="n">
        <v>100937</v>
      </c>
      <c r="F18" t="n">
        <v>-100937</v>
      </c>
      <c r="G18">
        <f>F18+D18-E18</f>
        <v/>
      </c>
    </row>
    <row r="19">
      <c r="C19" t="inlineStr">
        <is>
          <t>סה"כ לקבוצה:</t>
        </is>
      </c>
      <c r="D19" t="n">
        <v>33878.76000000001</v>
      </c>
    </row>
    <row r="20">
      <c r="A20" t="inlineStr">
        <is>
          <t>290</t>
        </is>
      </c>
      <c r="B20" t="inlineStr">
        <is>
          <t>2901</t>
        </is>
      </c>
      <c r="C20" t="inlineStr">
        <is>
          <t>מלאי עבודות בביצוע מאזן</t>
        </is>
      </c>
      <c r="D20" t="n">
        <v>32073.73</v>
      </c>
      <c r="F20" t="n">
        <v>37488</v>
      </c>
      <c r="G20">
        <f>F20+D20-E20</f>
        <v/>
      </c>
    </row>
    <row r="21">
      <c r="C21" t="inlineStr">
        <is>
          <t>סה"כ לקבוצה:</t>
        </is>
      </c>
      <c r="D21" t="n">
        <v>720018.9300000001</v>
      </c>
    </row>
    <row r="22">
      <c r="C22" t="inlineStr">
        <is>
          <t>ספקים</t>
        </is>
      </c>
    </row>
    <row r="23">
      <c r="A23" t="inlineStr">
        <is>
          <t>300</t>
        </is>
      </c>
      <c r="B23" t="inlineStr">
        <is>
          <t>3111</t>
        </is>
      </c>
      <c r="C23" t="inlineStr">
        <is>
          <t>פ.ר. אלקטרוניקה בע"מ</t>
        </is>
      </c>
      <c r="D23" t="n">
        <v>21900</v>
      </c>
      <c r="F23" t="n">
        <v>0</v>
      </c>
      <c r="G23">
        <f>F23+D23-E23</f>
        <v/>
      </c>
    </row>
    <row r="24">
      <c r="A24" t="inlineStr">
        <is>
          <t>300</t>
        </is>
      </c>
      <c r="B24" t="inlineStr">
        <is>
          <t>3241</t>
        </is>
      </c>
      <c r="C24" t="inlineStr">
        <is>
          <t>אורלי - משאבי אנרגיה בע"מ</t>
        </is>
      </c>
      <c r="E24" t="n">
        <v>1208</v>
      </c>
      <c r="F24" t="n">
        <v>-972</v>
      </c>
      <c r="G24">
        <f>F24+D24-E24</f>
        <v/>
      </c>
    </row>
    <row r="25">
      <c r="A25" t="inlineStr">
        <is>
          <t>300</t>
        </is>
      </c>
      <c r="B25" t="inlineStr">
        <is>
          <t>3712</t>
        </is>
      </c>
      <c r="C25" t="inlineStr">
        <is>
          <t>ראובן נסים</t>
        </is>
      </c>
      <c r="E25" t="n">
        <v>2000</v>
      </c>
      <c r="F25" t="n">
        <v>-6300</v>
      </c>
      <c r="G25">
        <f>F25+D25-E25</f>
        <v/>
      </c>
    </row>
    <row r="26">
      <c r="C26" t="inlineStr">
        <is>
          <t>סה"כ לקבוצה:</t>
        </is>
      </c>
      <c r="D26" t="n">
        <v>18692</v>
      </c>
    </row>
    <row r="27">
      <c r="A27" t="inlineStr">
        <is>
          <t>351</t>
        </is>
      </c>
      <c r="B27" t="inlineStr">
        <is>
          <t>0214</t>
        </is>
      </c>
      <c r="C27" t="inlineStr">
        <is>
          <t>הראל פנסיה</t>
        </is>
      </c>
      <c r="E27" t="n">
        <v>1693</v>
      </c>
      <c r="F27" t="n">
        <v>0</v>
      </c>
      <c r="G27">
        <f>F27+D27-E27</f>
        <v/>
      </c>
    </row>
    <row r="28">
      <c r="A28" t="inlineStr">
        <is>
          <t>351</t>
        </is>
      </c>
      <c r="B28" t="inlineStr">
        <is>
          <t>1328</t>
        </is>
      </c>
      <c r="C28" t="inlineStr">
        <is>
          <t>אלטשולר שחם - פנסיה</t>
        </is>
      </c>
      <c r="E28" t="n">
        <v>2910</v>
      </c>
      <c r="F28" t="n">
        <v>0</v>
      </c>
      <c r="G28">
        <f>F28+D28-E28</f>
        <v/>
      </c>
    </row>
    <row r="29">
      <c r="C29" t="inlineStr">
        <is>
          <t>סה"כ לקבוצה:</t>
        </is>
      </c>
      <c r="E29" t="n">
        <v>4603</v>
      </c>
    </row>
    <row r="30">
      <c r="C30" t="inlineStr">
        <is>
          <t>חוז</t>
        </is>
      </c>
    </row>
    <row r="31">
      <c r="A31" t="inlineStr">
        <is>
          <t>360</t>
        </is>
      </c>
      <c r="B31" t="inlineStr">
        <is>
          <t>3600</t>
        </is>
      </c>
      <c r="C31" t="inlineStr">
        <is>
          <t>מס הכנסה ניכויים</t>
        </is>
      </c>
      <c r="E31" t="n">
        <v>18945</v>
      </c>
      <c r="F31" t="n">
        <v>-18290.56</v>
      </c>
      <c r="G31">
        <f>F31+D31-E31</f>
        <v/>
      </c>
    </row>
    <row r="32">
      <c r="A32" t="inlineStr">
        <is>
          <t>360</t>
        </is>
      </c>
      <c r="B32" t="inlineStr">
        <is>
          <t>3610</t>
        </is>
      </c>
      <c r="C32" t="inlineStr">
        <is>
          <t>ביטוח לאומי ניכויים</t>
        </is>
      </c>
      <c r="E32" t="n">
        <v>5648</v>
      </c>
      <c r="F32" t="n">
        <v>-8395</v>
      </c>
      <c r="G32">
        <f>F32+D32-E32</f>
        <v/>
      </c>
    </row>
    <row r="33">
      <c r="C33" t="inlineStr">
        <is>
          <t>סה"כ לקבוצה:</t>
        </is>
      </c>
      <c r="E33" t="n">
        <v>24593</v>
      </c>
    </row>
    <row r="34">
      <c r="C34" t="inlineStr">
        <is>
          <t>עובדים</t>
        </is>
      </c>
    </row>
    <row r="35">
      <c r="A35" t="inlineStr">
        <is>
          <t>370</t>
        </is>
      </c>
      <c r="B35" t="inlineStr">
        <is>
          <t>3702</t>
        </is>
      </c>
      <c r="C35" t="inlineStr">
        <is>
          <t>ראובן גבי</t>
        </is>
      </c>
      <c r="E35" t="n">
        <v>7100</v>
      </c>
      <c r="F35" t="n">
        <v>0</v>
      </c>
      <c r="G35">
        <f>F35+D35-E35</f>
        <v/>
      </c>
    </row>
    <row r="36">
      <c r="A36" t="inlineStr">
        <is>
          <t>370</t>
        </is>
      </c>
      <c r="B36" t="inlineStr">
        <is>
          <t>3707</t>
        </is>
      </c>
      <c r="C36" t="inlineStr">
        <is>
          <t>ראובן לוסי</t>
        </is>
      </c>
      <c r="E36" t="n">
        <v>300</v>
      </c>
      <c r="F36" t="n">
        <v>-300</v>
      </c>
      <c r="G36">
        <f>F36+D36-E36</f>
        <v/>
      </c>
    </row>
    <row r="37">
      <c r="A37" t="inlineStr">
        <is>
          <t>370</t>
        </is>
      </c>
      <c r="B37" t="inlineStr">
        <is>
          <t>3740</t>
        </is>
      </c>
      <c r="C37" t="inlineStr">
        <is>
          <t>ראובן חנה</t>
        </is>
      </c>
      <c r="E37" t="n">
        <v>10000</v>
      </c>
      <c r="F37" t="n">
        <v>-10000</v>
      </c>
      <c r="G37">
        <f>F37+D37-E37</f>
        <v/>
      </c>
    </row>
    <row r="38">
      <c r="A38" t="inlineStr">
        <is>
          <t>370</t>
        </is>
      </c>
      <c r="B38" t="inlineStr">
        <is>
          <t>3745</t>
        </is>
      </c>
      <c r="C38" t="inlineStr">
        <is>
          <t>ארד שני</t>
        </is>
      </c>
      <c r="D38" t="n">
        <v>12045</v>
      </c>
      <c r="F38" t="n">
        <v>0</v>
      </c>
      <c r="G38">
        <f>F38+D38-E38</f>
        <v/>
      </c>
    </row>
    <row r="39">
      <c r="A39" t="inlineStr">
        <is>
          <t>370</t>
        </is>
      </c>
      <c r="B39" t="inlineStr">
        <is>
          <t>3747</t>
        </is>
      </c>
      <c r="C39" t="inlineStr">
        <is>
          <t>דניאל רטנר</t>
        </is>
      </c>
      <c r="D39" t="n">
        <v>11657</v>
      </c>
      <c r="F39" t="n">
        <v>-11798</v>
      </c>
      <c r="G39">
        <f>F39+D39-E39</f>
        <v/>
      </c>
    </row>
    <row r="40">
      <c r="C40" t="inlineStr">
        <is>
          <t>סה"כ לקבוצה:</t>
        </is>
      </c>
      <c r="D40" t="n">
        <v>6302</v>
      </c>
    </row>
    <row r="41">
      <c r="C41" t="inlineStr">
        <is>
          <t>סה"כ לקבוצה:</t>
        </is>
      </c>
      <c r="E41" t="n">
        <v>4202</v>
      </c>
    </row>
    <row r="42">
      <c r="A42" t="inlineStr">
        <is>
          <t>400</t>
        </is>
      </c>
      <c r="B42" t="inlineStr">
        <is>
          <t>4000</t>
        </is>
      </c>
      <c r="C42" t="inlineStr">
        <is>
          <t>הון מניות</t>
        </is>
      </c>
      <c r="E42" t="n">
        <v>100</v>
      </c>
      <c r="F42" t="n">
        <v>-100</v>
      </c>
      <c r="G42">
        <f>F42+D42-E42</f>
        <v/>
      </c>
    </row>
    <row r="43">
      <c r="A43" t="inlineStr">
        <is>
          <t>450</t>
        </is>
      </c>
      <c r="B43" t="inlineStr">
        <is>
          <t>4500</t>
        </is>
      </c>
      <c r="C43" t="inlineStr">
        <is>
          <t>חשבון רווח/הפסד</t>
        </is>
      </c>
      <c r="E43" t="n">
        <v>1145771.75</v>
      </c>
      <c r="F43" t="n">
        <v>-947534.87</v>
      </c>
      <c r="G43">
        <f>F43+D43-E43</f>
        <v/>
      </c>
    </row>
    <row r="44">
      <c r="C44" t="inlineStr">
        <is>
          <t>סה"כ לקבוצה:</t>
        </is>
      </c>
      <c r="E44" t="n">
        <v>1145871.75</v>
      </c>
    </row>
    <row r="45">
      <c r="C45" t="inlineStr">
        <is>
          <t>אגף המכס והבלו</t>
        </is>
      </c>
    </row>
    <row r="46">
      <c r="A46" t="inlineStr">
        <is>
          <t>500</t>
        </is>
      </c>
      <c r="B46" t="inlineStr">
        <is>
          <t>5040</t>
        </is>
      </c>
      <c r="C46" t="inlineStr">
        <is>
          <t>חוז מעמ</t>
        </is>
      </c>
      <c r="E46" t="n">
        <v>62084</v>
      </c>
      <c r="F46" t="n">
        <v>-52211</v>
      </c>
      <c r="G46">
        <f>F46+D46-E46</f>
        <v/>
      </c>
    </row>
    <row r="47">
      <c r="C47" t="inlineStr">
        <is>
          <t>בעלי מניות</t>
        </is>
      </c>
    </row>
    <row r="48">
      <c r="A48" t="inlineStr">
        <is>
          <t>510</t>
        </is>
      </c>
      <c r="B48" t="inlineStr">
        <is>
          <t>5100</t>
        </is>
      </c>
      <c r="C48" t="inlineStr">
        <is>
          <t>ראובן מירון</t>
        </is>
      </c>
      <c r="E48" t="n">
        <v>2826.19</v>
      </c>
      <c r="F48" t="n">
        <v>-10722.18</v>
      </c>
      <c r="G48">
        <f>F48+D48-E48</f>
        <v/>
      </c>
    </row>
    <row r="49">
      <c r="C49" t="inlineStr">
        <is>
          <t>סה"כ לקבוצה:</t>
        </is>
      </c>
      <c r="E49" t="n">
        <v>64910.19</v>
      </c>
    </row>
    <row r="50">
      <c r="C50" t="inlineStr">
        <is>
          <t>הכנסות</t>
        </is>
      </c>
    </row>
    <row r="51">
      <c r="A51" t="inlineStr">
        <is>
          <t>600</t>
        </is>
      </c>
      <c r="B51" t="inlineStr">
        <is>
          <t>6000</t>
        </is>
      </c>
      <c r="C51" t="inlineStr">
        <is>
          <t>הכנסות</t>
        </is>
      </c>
      <c r="E51" t="n">
        <v>2970854.7</v>
      </c>
      <c r="F51" t="n">
        <v>-1997417.09</v>
      </c>
      <c r="G51">
        <f>F51+D51-E51</f>
        <v/>
      </c>
    </row>
    <row r="52">
      <c r="A52" t="inlineStr">
        <is>
          <t>600</t>
        </is>
      </c>
      <c r="B52" t="inlineStr">
        <is>
          <t>6008</t>
        </is>
      </c>
      <c r="C52" t="inlineStr">
        <is>
          <t>הכנסות מניקוי אוניות פחם - חברת החשמל</t>
        </is>
      </c>
      <c r="E52" t="n">
        <v>512419.65</v>
      </c>
      <c r="F52" t="n">
        <v>-452970.08</v>
      </c>
      <c r="G52">
        <f>F52+D52-E52</f>
        <v/>
      </c>
    </row>
    <row r="53">
      <c r="C53" t="inlineStr">
        <is>
          <t>סה"כ לקבוצה:</t>
        </is>
      </c>
      <c r="E53" t="n">
        <v>3483274.35</v>
      </c>
    </row>
    <row r="54">
      <c r="C54" t="inlineStr">
        <is>
          <t>קניות</t>
        </is>
      </c>
    </row>
    <row r="55">
      <c r="A55" t="inlineStr">
        <is>
          <t>650</t>
        </is>
      </c>
      <c r="B55" t="inlineStr">
        <is>
          <t>6400</t>
        </is>
      </c>
      <c r="C55" t="inlineStr">
        <is>
          <t>מלאי פתיחה רווח והפסד</t>
        </is>
      </c>
      <c r="D55" t="n">
        <v>37488</v>
      </c>
      <c r="F55" t="n">
        <v>65797</v>
      </c>
      <c r="G55">
        <f>F55+D55-E55</f>
        <v/>
      </c>
    </row>
    <row r="56">
      <c r="A56" t="inlineStr">
        <is>
          <t>650</t>
        </is>
      </c>
      <c r="B56" t="inlineStr">
        <is>
          <t>6500</t>
        </is>
      </c>
      <c r="C56" t="inlineStr">
        <is>
          <t>קניות</t>
        </is>
      </c>
      <c r="D56" t="n">
        <v>149456.5</v>
      </c>
      <c r="F56" t="n">
        <v>162581.42</v>
      </c>
      <c r="G56">
        <f>F56+D56-E56</f>
        <v/>
      </c>
    </row>
    <row r="57">
      <c r="C57" t="inlineStr">
        <is>
          <t>סה"כ לקבוצה:</t>
        </is>
      </c>
      <c r="D57" t="n">
        <v>186944.5</v>
      </c>
    </row>
    <row r="58">
      <c r="A58" t="inlineStr">
        <is>
          <t>660</t>
        </is>
      </c>
      <c r="B58" t="inlineStr">
        <is>
          <t>6600</t>
        </is>
      </c>
      <c r="C58" t="inlineStr">
        <is>
          <t>קבלני משנה</t>
        </is>
      </c>
      <c r="D58" t="n">
        <v>191918.38</v>
      </c>
      <c r="F58" t="n">
        <v>402941.37</v>
      </c>
      <c r="G58">
        <f>F58+D58-E58</f>
        <v/>
      </c>
    </row>
    <row r="59">
      <c r="A59" t="inlineStr">
        <is>
          <t>660</t>
        </is>
      </c>
      <c r="B59" t="inlineStr">
        <is>
          <t>6605</t>
        </is>
      </c>
      <c r="C59" t="inlineStr">
        <is>
          <t>פינוי פסולת</t>
        </is>
      </c>
      <c r="D59" t="n">
        <v>3150.43</v>
      </c>
      <c r="F59" t="n">
        <v>12461.53</v>
      </c>
      <c r="G59">
        <f>F59+D59-E59</f>
        <v/>
      </c>
    </row>
    <row r="60">
      <c r="C60" t="inlineStr">
        <is>
          <t>סה"כ לקבוצה:</t>
        </is>
      </c>
      <c r="D60" t="n">
        <v>195068.81</v>
      </c>
    </row>
    <row r="61">
      <c r="A61" t="inlineStr">
        <is>
          <t>670</t>
        </is>
      </c>
      <c r="B61" t="inlineStr">
        <is>
          <t>6800</t>
        </is>
      </c>
      <c r="C61" t="inlineStr">
        <is>
          <t>מלאי  סגירה רווח והפסד</t>
        </is>
      </c>
      <c r="E61" t="n">
        <v>32073.73</v>
      </c>
      <c r="F61" t="n">
        <v>-37488</v>
      </c>
      <c r="G61">
        <f>F61+D61-E61</f>
        <v/>
      </c>
    </row>
    <row r="62">
      <c r="C62" t="inlineStr">
        <is>
          <t>סה"כ לקבוצה:</t>
        </is>
      </c>
      <c r="E62" t="n">
        <v>3133334.77</v>
      </c>
    </row>
    <row r="63">
      <c r="C63" t="inlineStr">
        <is>
          <t>שכר עבודה</t>
        </is>
      </c>
    </row>
    <row r="64">
      <c r="A64" t="inlineStr">
        <is>
          <t>700</t>
        </is>
      </c>
      <c r="B64" t="inlineStr">
        <is>
          <t>7000</t>
        </is>
      </c>
      <c r="C64" t="inlineStr">
        <is>
          <t>שכר עבודה</t>
        </is>
      </c>
      <c r="D64" t="n">
        <v>1158257</v>
      </c>
      <c r="F64" t="n">
        <v>721581</v>
      </c>
      <c r="G64">
        <f>F64+D64-E64</f>
        <v/>
      </c>
    </row>
    <row r="65">
      <c r="A65" t="inlineStr">
        <is>
          <t>700</t>
        </is>
      </c>
      <c r="B65" t="inlineStr">
        <is>
          <t>7001</t>
        </is>
      </c>
      <c r="C65" t="inlineStr">
        <is>
          <t>סוציאליות</t>
        </is>
      </c>
      <c r="D65" t="n">
        <v>61731</v>
      </c>
      <c r="F65" t="n">
        <v>36789</v>
      </c>
      <c r="G65">
        <f>F65+D65-E65</f>
        <v/>
      </c>
    </row>
    <row r="66">
      <c r="A66" t="inlineStr">
        <is>
          <t>700</t>
        </is>
      </c>
      <c r="B66" t="inlineStr">
        <is>
          <t>7002</t>
        </is>
      </c>
      <c r="C66" t="inlineStr">
        <is>
          <t>גמל מעביד</t>
        </is>
      </c>
      <c r="D66" t="n">
        <v>24340</v>
      </c>
      <c r="F66" t="n">
        <v>14763</v>
      </c>
      <c r="G66">
        <f>F66+D66-E66</f>
        <v/>
      </c>
    </row>
    <row r="67">
      <c r="A67" t="inlineStr">
        <is>
          <t>700</t>
        </is>
      </c>
      <c r="B67" t="inlineStr">
        <is>
          <t>7006</t>
        </is>
      </c>
      <c r="C67" t="inlineStr">
        <is>
          <t>הוצ גמל פיצויים</t>
        </is>
      </c>
      <c r="D67" t="n">
        <v>31192</v>
      </c>
      <c r="F67" t="n">
        <v>18920</v>
      </c>
      <c r="G67">
        <f>F67+D67-E67</f>
        <v/>
      </c>
    </row>
    <row r="68">
      <c r="A68" t="inlineStr">
        <is>
          <t>700</t>
        </is>
      </c>
      <c r="B68" t="inlineStr">
        <is>
          <t>7025</t>
        </is>
      </c>
      <c r="C68" t="inlineStr">
        <is>
          <t>החזר תגמולי מילואים</t>
        </is>
      </c>
      <c r="E68" t="n">
        <v>20994</v>
      </c>
      <c r="F68" t="n">
        <v>-44047</v>
      </c>
      <c r="G68">
        <f>F68+D68-E68</f>
        <v/>
      </c>
    </row>
    <row r="69">
      <c r="C69" t="inlineStr">
        <is>
          <t>סה"כ לקבוצה:</t>
        </is>
      </c>
      <c r="D69" t="n">
        <v>1254526</v>
      </c>
    </row>
    <row r="70">
      <c r="C70" t="inlineStr">
        <is>
          <t>הוצאות הנהלה וכלליות</t>
        </is>
      </c>
    </row>
    <row r="71">
      <c r="A71" t="inlineStr">
        <is>
          <t>720</t>
        </is>
      </c>
      <c r="B71" t="inlineStr">
        <is>
          <t>7200</t>
        </is>
      </c>
      <c r="C71" t="inlineStr">
        <is>
          <t>משרדיות</t>
        </is>
      </c>
      <c r="D71" t="n">
        <v>598.29</v>
      </c>
      <c r="F71" t="n">
        <v>123.08</v>
      </c>
      <c r="G71">
        <f>F71+D71-E71</f>
        <v/>
      </c>
    </row>
    <row r="72">
      <c r="A72" t="inlineStr">
        <is>
          <t>720</t>
        </is>
      </c>
      <c r="B72" t="inlineStr">
        <is>
          <t>7201</t>
        </is>
      </c>
      <c r="C72" t="inlineStr">
        <is>
          <t>ביטוחים</t>
        </is>
      </c>
      <c r="D72" t="n">
        <v>34246</v>
      </c>
      <c r="F72" t="n">
        <v>33831</v>
      </c>
      <c r="G72">
        <f>F72+D72-E72</f>
        <v/>
      </c>
    </row>
    <row r="73">
      <c r="A73" t="inlineStr">
        <is>
          <t>720</t>
        </is>
      </c>
      <c r="B73" t="inlineStr">
        <is>
          <t>7204</t>
        </is>
      </c>
      <c r="C73" t="inlineStr">
        <is>
          <t>אגרות ורשיונות</t>
        </is>
      </c>
      <c r="D73" t="n">
        <v>5000</v>
      </c>
      <c r="F73" t="n">
        <v>1215</v>
      </c>
      <c r="G73">
        <f>F73+D73-E73</f>
        <v/>
      </c>
    </row>
    <row r="74">
      <c r="A74" t="inlineStr">
        <is>
          <t>720</t>
        </is>
      </c>
      <c r="B74" t="inlineStr">
        <is>
          <t>7210</t>
        </is>
      </c>
      <c r="C74" t="inlineStr">
        <is>
          <t>טלפון ותקשורת</t>
        </is>
      </c>
      <c r="D74" t="n">
        <v>1881.86</v>
      </c>
      <c r="F74" t="n">
        <v>1432.81</v>
      </c>
      <c r="G74">
        <f>F74+D74-E74</f>
        <v/>
      </c>
    </row>
    <row r="75">
      <c r="A75" t="inlineStr">
        <is>
          <t>720</t>
        </is>
      </c>
      <c r="B75" t="inlineStr">
        <is>
          <t>7221</t>
        </is>
      </c>
      <c r="C75" t="inlineStr">
        <is>
          <t>בדיקות תקופתיות</t>
        </is>
      </c>
      <c r="D75" t="n">
        <v>870</v>
      </c>
      <c r="F75" t="n">
        <v>0</v>
      </c>
      <c r="G75">
        <f>F75+D75-E75</f>
        <v/>
      </c>
    </row>
    <row r="76">
      <c r="A76" t="inlineStr">
        <is>
          <t>720</t>
        </is>
      </c>
      <c r="B76" t="inlineStr">
        <is>
          <t>7251</t>
        </is>
      </c>
      <c r="C76" t="inlineStr">
        <is>
          <t>השתלמויות וקורסים</t>
        </is>
      </c>
      <c r="D76" t="n">
        <v>500</v>
      </c>
      <c r="F76" t="n">
        <v>0</v>
      </c>
      <c r="G76">
        <f>F76+D76-E76</f>
        <v/>
      </c>
    </row>
    <row r="77">
      <c r="A77" t="inlineStr">
        <is>
          <t>720</t>
        </is>
      </c>
      <c r="B77" t="inlineStr">
        <is>
          <t>7455</t>
        </is>
      </c>
      <c r="C77" t="inlineStr">
        <is>
          <t>הוצאות דיבידנד</t>
        </is>
      </c>
      <c r="D77" t="n">
        <v>1197014</v>
      </c>
      <c r="F77" t="n">
        <v>571428</v>
      </c>
      <c r="G77">
        <f>F77+D77-E77</f>
        <v/>
      </c>
    </row>
    <row r="78">
      <c r="C78" t="inlineStr">
        <is>
          <t>סה"כ לקבוצה:</t>
        </is>
      </c>
      <c r="D78" t="n">
        <v>1240110.15</v>
      </c>
    </row>
    <row r="79">
      <c r="A79" t="inlineStr">
        <is>
          <t>730</t>
        </is>
      </c>
      <c r="B79" t="inlineStr">
        <is>
          <t>7300</t>
        </is>
      </c>
      <c r="C79" t="inlineStr">
        <is>
          <t>אחזקה ותיקונים</t>
        </is>
      </c>
      <c r="D79" t="n">
        <v>2716.59</v>
      </c>
      <c r="F79" t="n">
        <v>555.5599999999999</v>
      </c>
      <c r="G79">
        <f>F79+D79-E79</f>
        <v/>
      </c>
    </row>
    <row r="80">
      <c r="A80" t="inlineStr">
        <is>
          <t>730</t>
        </is>
      </c>
      <c r="B80" t="inlineStr">
        <is>
          <t>7301</t>
        </is>
      </c>
      <c r="C80" t="inlineStr">
        <is>
          <t>כלי עבודה</t>
        </is>
      </c>
      <c r="D80" t="n">
        <v>777.35</v>
      </c>
      <c r="F80" t="n">
        <v>23736.57</v>
      </c>
      <c r="G80">
        <f>F80+D80-E80</f>
        <v/>
      </c>
    </row>
    <row r="81">
      <c r="C81" t="inlineStr">
        <is>
          <t>סה"כ לקבוצה:</t>
        </is>
      </c>
      <c r="D81" t="n">
        <v>3493.94</v>
      </c>
    </row>
    <row r="82">
      <c r="C82" t="inlineStr">
        <is>
          <t>אחזקת רכב</t>
        </is>
      </c>
    </row>
    <row r="83">
      <c r="A83" t="inlineStr">
        <is>
          <t>760</t>
        </is>
      </c>
      <c r="B83" t="inlineStr">
        <is>
          <t>7600</t>
        </is>
      </c>
      <c r="C83" t="inlineStr">
        <is>
          <t>24-388-73  יונדאי דלק    (10.2016)</t>
        </is>
      </c>
      <c r="D83" t="n">
        <v>15677.56</v>
      </c>
      <c r="F83" t="n">
        <v>16520.66</v>
      </c>
      <c r="G83">
        <f>F83+D83-E83</f>
        <v/>
      </c>
    </row>
    <row r="84">
      <c r="A84" t="inlineStr">
        <is>
          <t>760</t>
        </is>
      </c>
      <c r="B84" t="inlineStr">
        <is>
          <t>7601</t>
        </is>
      </c>
      <c r="C84" t="inlineStr">
        <is>
          <t>24-388-73  יונדאי הוצ שוטפות    (10.2016)</t>
        </is>
      </c>
      <c r="D84" t="n">
        <v>728.86</v>
      </c>
      <c r="F84" t="n">
        <v>7265.93</v>
      </c>
      <c r="G84">
        <f>F84+D84-E84</f>
        <v/>
      </c>
    </row>
    <row r="85">
      <c r="A85" t="inlineStr">
        <is>
          <t>760</t>
        </is>
      </c>
      <c r="B85" t="inlineStr">
        <is>
          <t>7602</t>
        </is>
      </c>
      <c r="C85" t="inlineStr">
        <is>
          <t>24-388-73  יונדאי ביטוחים    (10.2016)</t>
        </is>
      </c>
      <c r="D85" t="n">
        <v>4559</v>
      </c>
      <c r="F85" t="n">
        <v>4803</v>
      </c>
      <c r="G85">
        <f>F85+D85-E85</f>
        <v/>
      </c>
    </row>
    <row r="86">
      <c r="A86" t="inlineStr">
        <is>
          <t>760</t>
        </is>
      </c>
      <c r="B86" t="inlineStr">
        <is>
          <t>7681</t>
        </is>
      </c>
      <c r="C86" t="inlineStr">
        <is>
          <t>98-148-63  הוצ שוטפות סוזוקי (09.2024)</t>
        </is>
      </c>
      <c r="D86" t="n">
        <v>4028.85</v>
      </c>
      <c r="F86" t="n">
        <v>0</v>
      </c>
      <c r="G86">
        <f>F86+D86-E86</f>
        <v/>
      </c>
    </row>
    <row r="87">
      <c r="C87" t="inlineStr">
        <is>
          <t>סה"כ לקבוצה:</t>
        </is>
      </c>
      <c r="D87" t="n">
        <v>24994.27</v>
      </c>
    </row>
    <row r="88">
      <c r="C88" t="inlineStr">
        <is>
          <t>מימון</t>
        </is>
      </c>
    </row>
    <row r="89">
      <c r="A89" t="inlineStr">
        <is>
          <t>790</t>
        </is>
      </c>
      <c r="B89" t="inlineStr">
        <is>
          <t>7900</t>
        </is>
      </c>
      <c r="C89" t="inlineStr">
        <is>
          <t>ריבית ועמלות בנק</t>
        </is>
      </c>
      <c r="D89" t="n">
        <v>2112.46</v>
      </c>
      <c r="F89" t="n">
        <v>2950.84</v>
      </c>
      <c r="G89">
        <f>F89+D89-E89</f>
        <v/>
      </c>
    </row>
    <row r="90">
      <c r="A90" t="inlineStr">
        <is>
          <t>790</t>
        </is>
      </c>
      <c r="B90" t="inlineStr">
        <is>
          <t>7999</t>
        </is>
      </c>
      <c r="C90" t="inlineStr">
        <is>
          <t>ביטול ייתרות</t>
        </is>
      </c>
      <c r="D90" t="n">
        <v>17.61</v>
      </c>
      <c r="F90" t="n">
        <v>0</v>
      </c>
      <c r="G90">
        <f>F90+D90-E90</f>
        <v/>
      </c>
    </row>
    <row r="91">
      <c r="C91" t="inlineStr">
        <is>
          <t>סה"כ לקבוצה:</t>
        </is>
      </c>
      <c r="D91" t="n">
        <v>2130.07</v>
      </c>
    </row>
    <row r="92">
      <c r="C92" t="inlineStr">
        <is>
          <t>סה"כ לקבוצה:</t>
        </is>
      </c>
      <c r="D92" t="n">
        <v>2525254.43</v>
      </c>
    </row>
    <row r="93">
      <c r="C93" t="inlineStr">
        <is>
          <t>סה"כ לקבוצה:</t>
        </is>
      </c>
      <c r="D93"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77"/>
  <sheetViews>
    <sheetView showGridLines="0" rightToLeft="1" tabSelected="1" defaultGridColor="0" view="pageBreakPreview" colorId="8" zoomScaleNormal="100" zoomScaleSheetLayoutView="100" workbookViewId="0">
      <pane ySplit="5" topLeftCell="A111" activePane="bottomLeft" state="frozen"/>
      <selection activeCell="P64" sqref="P64"/>
      <selection pane="bottomLeft" activeCell="K350" sqref="K350"/>
    </sheetView>
  </sheetViews>
  <sheetFormatPr baseColWidth="10" defaultColWidth="0" defaultRowHeight="16"/>
  <cols>
    <col width="5" customWidth="1" style="368" min="1" max="1"/>
    <col width="2.59765625" customWidth="1" style="282" min="2" max="4"/>
    <col width="7.19921875" customWidth="1" style="282" min="5" max="5"/>
    <col width="1.796875" customWidth="1" style="282" min="6" max="6"/>
    <col width="10" customWidth="1" style="282" min="7" max="9"/>
    <col width="7" customWidth="1" style="282" min="10" max="10"/>
    <col width="10" customWidth="1" style="369" min="11" max="11"/>
    <col width="10.19921875" customWidth="1" style="282" min="12" max="12"/>
    <col width="10.59765625" customWidth="1" style="282" min="13" max="13"/>
    <col width="17.59765625" customWidth="1" style="282" min="14" max="14"/>
    <col width="3.59765625" customWidth="1" style="370" min="15" max="15"/>
    <col width="10" customWidth="1" style="370" min="16" max="19"/>
    <col hidden="1" width="10" customWidth="1" style="282" min="20" max="16384"/>
  </cols>
  <sheetData>
    <row r="1" ht="12.75" customHeight="1" s="282">
      <c r="B1" s="371" t="inlineStr">
        <is>
          <t>ליום 31 בדצמבר 2024</t>
        </is>
      </c>
      <c r="C1" s="372" t="n"/>
      <c r="D1" s="372" t="n"/>
      <c r="E1" s="372" t="n"/>
      <c r="F1" s="372" t="n"/>
      <c r="G1" s="372" t="n"/>
      <c r="H1" s="372" t="n"/>
      <c r="I1" s="372" t="n"/>
      <c r="J1" s="264" t="n">
        <v>513826727</v>
      </c>
      <c r="L1" s="372" t="n"/>
      <c r="M1" s="372" t="inlineStr">
        <is>
          <t>אקטיב</t>
        </is>
      </c>
      <c r="N1" s="372">
        <f>M126</f>
        <v/>
      </c>
      <c r="R1" s="373" t="n"/>
    </row>
    <row r="2" ht="12.75" customHeight="1" s="282">
      <c r="B2" s="372" t="n"/>
      <c r="C2" s="372" t="n"/>
      <c r="D2" s="372" t="n"/>
      <c r="E2" s="372" t="n"/>
      <c r="F2" s="371" t="inlineStr">
        <is>
          <t>2008</t>
        </is>
      </c>
      <c r="G2" s="372" t="n"/>
      <c r="H2" s="372" t="n"/>
      <c r="I2" s="372" t="n"/>
      <c r="J2" s="264" t="n">
        <v>917308686</v>
      </c>
      <c r="L2" s="372" t="n"/>
      <c r="M2" s="372" t="inlineStr">
        <is>
          <t>פסיב</t>
        </is>
      </c>
      <c r="N2" s="374">
        <f>M141</f>
        <v/>
      </c>
    </row>
    <row r="3" ht="12.75" customHeight="1" s="282">
      <c r="B3" s="371" t="inlineStr">
        <is>
          <t>חדרה</t>
        </is>
      </c>
      <c r="C3" s="372" t="n"/>
      <c r="D3" s="372" t="n"/>
      <c r="E3" s="372" t="n"/>
      <c r="F3" s="372" t="n"/>
      <c r="G3" s="372" t="n"/>
      <c r="H3" s="372" t="n"/>
      <c r="I3" s="372" t="n"/>
      <c r="J3" s="371" t="inlineStr">
        <is>
          <t>פקיד שומה חדרה</t>
        </is>
      </c>
      <c r="K3" s="375" t="n"/>
      <c r="L3" s="372" t="n"/>
      <c r="M3" s="372" t="n"/>
      <c r="N3" s="376">
        <f>N1-N2</f>
        <v/>
      </c>
    </row>
    <row r="4" ht="12.75" customHeight="1" s="282">
      <c r="B4" s="372">
        <f>TEXT(G4,"dd בmmmm yyyy")</f>
        <v/>
      </c>
      <c r="C4" s="372" t="n"/>
      <c r="D4" s="372" t="n"/>
      <c r="E4" s="372" t="n"/>
      <c r="F4" s="372" t="n"/>
      <c r="G4" s="74">
        <f>TODAY()</f>
        <v/>
      </c>
      <c r="H4" s="371" t="n"/>
      <c r="I4" s="371" t="n"/>
      <c r="J4" s="372" t="inlineStr">
        <is>
          <t>מירון ראובן עבודות ציבוריות בע"מ</t>
        </is>
      </c>
      <c r="K4" s="375" t="n"/>
      <c r="L4" s="372" t="n"/>
      <c r="M4" s="372" t="inlineStr">
        <is>
          <t>תזרים</t>
        </is>
      </c>
      <c r="N4" s="376" t="n"/>
    </row>
    <row r="5" ht="12.75" customHeight="1" s="282">
      <c r="B5" s="371" t="inlineStr">
        <is>
          <t xml:space="preserve">ליום 31 בדצמבר </t>
        </is>
      </c>
      <c r="C5" s="372" t="n"/>
      <c r="D5" s="372" t="n"/>
      <c r="E5" s="372" t="n"/>
      <c r="F5" s="372" t="n"/>
      <c r="G5" s="372" t="n"/>
      <c r="H5" s="372" t="n"/>
      <c r="I5" s="372" t="n"/>
      <c r="J5" s="372" t="inlineStr">
        <is>
          <t>אלחדד יגאל ורונן רואי חשבון</t>
        </is>
      </c>
      <c r="K5" s="375" t="n"/>
      <c r="L5" s="372" t="n"/>
      <c r="M5" s="372" t="inlineStr">
        <is>
          <t>ר.קבוע</t>
        </is>
      </c>
      <c r="N5" s="376">
        <f>N122</f>
        <v/>
      </c>
    </row>
    <row r="26" ht="31" customHeight="1" s="282">
      <c r="B26" s="377">
        <f>J4</f>
        <v/>
      </c>
    </row>
    <row r="27" ht="31" customHeight="1" s="282">
      <c r="B27" s="377" t="inlineStr">
        <is>
          <t>ח.פ 513831529</t>
        </is>
      </c>
    </row>
    <row r="28" ht="31" customHeight="1" s="282">
      <c r="B28" s="377" t="inlineStr">
        <is>
          <t>דוחות כספיים</t>
        </is>
      </c>
    </row>
    <row r="29" ht="24" customHeight="1" s="282">
      <c r="B29" s="377">
        <f>B1</f>
        <v/>
      </c>
    </row>
    <row r="30" ht="24" customHeight="1" s="282">
      <c r="B30" s="377" t="n"/>
      <c r="C30" s="377" t="n"/>
      <c r="D30" s="377" t="n"/>
      <c r="E30" s="377" t="n"/>
      <c r="F30" s="377" t="n"/>
      <c r="G30" s="377" t="n"/>
      <c r="H30" s="377" t="n"/>
      <c r="I30" s="377" t="n"/>
      <c r="J30" s="377" t="n"/>
      <c r="K30" s="377" t="n"/>
      <c r="L30" s="377" t="n"/>
      <c r="M30" s="377" t="n"/>
      <c r="N30" s="377" t="n"/>
    </row>
    <row r="31" ht="24" customHeight="1" s="282">
      <c r="B31" s="377" t="n"/>
      <c r="C31" s="377" t="n"/>
      <c r="D31" s="377" t="n"/>
      <c r="E31" s="377" t="n"/>
      <c r="F31" s="377" t="n"/>
      <c r="G31" s="377" t="n"/>
      <c r="H31" s="377" t="n"/>
      <c r="I31" s="377" t="n"/>
      <c r="J31" s="377" t="n"/>
      <c r="K31" s="377" t="n"/>
      <c r="L31" s="377" t="n"/>
      <c r="M31" s="377" t="n"/>
      <c r="N31" s="377" t="n"/>
    </row>
    <row r="32" ht="24" customHeight="1" s="282">
      <c r="B32" s="377" t="n"/>
      <c r="C32" s="377" t="n"/>
      <c r="D32" s="377" t="n"/>
      <c r="E32" s="377" t="n"/>
      <c r="F32" s="377" t="n"/>
      <c r="G32" s="377" t="n"/>
      <c r="H32" s="377" t="n"/>
      <c r="I32" s="377" t="n"/>
      <c r="J32" s="377" t="n"/>
      <c r="K32" s="377" t="n"/>
      <c r="L32" s="377" t="n"/>
      <c r="M32" s="377" t="n"/>
      <c r="N32" s="377" t="n"/>
    </row>
    <row r="33" ht="24" customHeight="1" s="282">
      <c r="B33" s="377" t="n"/>
      <c r="C33" s="377" t="n"/>
      <c r="D33" s="377" t="n"/>
      <c r="E33" s="377" t="n"/>
      <c r="F33" s="377" t="n"/>
      <c r="G33" s="377" t="n"/>
      <c r="H33" s="377" t="n"/>
      <c r="I33" s="377" t="n"/>
      <c r="J33" s="377" t="n"/>
      <c r="K33" s="377" t="n"/>
      <c r="L33" s="377" t="n"/>
      <c r="M33" s="377" t="n"/>
      <c r="N33" s="377" t="n"/>
    </row>
    <row r="34" ht="24" customHeight="1" s="282">
      <c r="B34" s="377" t="n"/>
      <c r="C34" s="377" t="n"/>
      <c r="D34" s="377" t="n"/>
      <c r="E34" s="377" t="n"/>
      <c r="F34" s="377" t="n"/>
      <c r="G34" s="377" t="n"/>
      <c r="H34" s="377" t="n"/>
      <c r="I34" s="377" t="n"/>
      <c r="J34" s="377" t="n"/>
      <c r="K34" s="377" t="n"/>
      <c r="L34" s="377" t="n"/>
      <c r="M34" s="377" t="n"/>
      <c r="N34" s="377" t="n"/>
    </row>
    <row r="35" ht="24" customHeight="1" s="282">
      <c r="B35" s="377" t="n"/>
      <c r="C35" s="377" t="n"/>
      <c r="D35" s="377" t="n"/>
      <c r="E35" s="377" t="n"/>
      <c r="F35" s="377" t="n"/>
      <c r="G35" s="377" t="n"/>
      <c r="H35" s="377" t="n"/>
      <c r="I35" s="377" t="n"/>
      <c r="J35" s="377" t="n"/>
      <c r="K35" s="377" t="n"/>
      <c r="L35" s="377" t="n"/>
      <c r="M35" s="377" t="n"/>
      <c r="N35" s="377" t="n"/>
    </row>
    <row r="36" ht="24" customHeight="1" s="282">
      <c r="B36" s="377" t="n"/>
      <c r="C36" s="377" t="n"/>
      <c r="D36" s="377" t="n"/>
      <c r="E36" s="377" t="n"/>
      <c r="F36" s="377" t="n"/>
      <c r="G36" s="377" t="n"/>
      <c r="H36" s="377" t="n"/>
      <c r="I36" s="377" t="n"/>
      <c r="J36" s="377" t="n"/>
      <c r="K36" s="377" t="n"/>
      <c r="L36" s="377" t="n"/>
      <c r="M36" s="377" t="n"/>
      <c r="N36" s="377" t="n"/>
    </row>
    <row r="37" ht="24" customHeight="1" s="282">
      <c r="B37" s="377" t="n"/>
      <c r="C37" s="377" t="n"/>
      <c r="D37" s="377" t="n"/>
      <c r="E37" s="377" t="n"/>
      <c r="F37" s="377" t="n"/>
      <c r="G37" s="377" t="n"/>
      <c r="H37" s="377" t="n"/>
      <c r="I37" s="377" t="n"/>
      <c r="J37" s="377" t="n"/>
      <c r="K37" s="377" t="n"/>
      <c r="L37" s="377" t="n"/>
      <c r="M37" s="377" t="n"/>
      <c r="N37" s="377" t="n"/>
    </row>
    <row r="38" ht="24" customHeight="1" s="282">
      <c r="B38" s="377" t="n"/>
      <c r="C38" s="377" t="n"/>
      <c r="D38" s="377" t="n"/>
      <c r="E38" s="377" t="n"/>
      <c r="F38" s="377" t="n"/>
      <c r="G38" s="377" t="n"/>
      <c r="H38" s="377" t="n"/>
      <c r="I38" s="377" t="n"/>
      <c r="J38" s="377" t="n"/>
      <c r="K38" s="377" t="n"/>
      <c r="L38" s="377" t="n"/>
      <c r="M38" s="377" t="n"/>
      <c r="N38" s="377" t="n"/>
    </row>
    <row r="39" ht="24" customHeight="1" s="282">
      <c r="B39" s="377" t="n"/>
      <c r="C39" s="377" t="n"/>
      <c r="D39" s="377" t="n"/>
      <c r="E39" s="377" t="n"/>
      <c r="F39" s="377" t="n"/>
      <c r="G39" s="377" t="n"/>
      <c r="H39" s="377" t="n"/>
      <c r="I39" s="377" t="n"/>
      <c r="J39" s="377" t="n"/>
      <c r="K39" s="377" t="n"/>
      <c r="L39" s="377" t="n"/>
      <c r="M39" s="377" t="n"/>
      <c r="N39" s="377" t="n"/>
    </row>
    <row r="40" ht="24" customHeight="1" s="282" thickBot="1">
      <c r="B40" s="378" t="n"/>
      <c r="C40" s="378" t="n"/>
      <c r="D40" s="378" t="n"/>
      <c r="E40" s="378" t="n"/>
      <c r="F40" s="378" t="n"/>
      <c r="G40" s="378" t="n"/>
      <c r="H40" s="378" t="n"/>
      <c r="I40" s="378" t="n"/>
      <c r="J40" s="378" t="n"/>
      <c r="K40" s="378" t="n"/>
      <c r="L40" s="378" t="n"/>
      <c r="M40" s="378" t="n"/>
      <c r="N40" s="378" t="n"/>
    </row>
    <row r="41" ht="24" customHeight="1" s="282">
      <c r="B41" s="377" t="n"/>
      <c r="C41" s="377" t="n"/>
      <c r="D41" s="377" t="n"/>
      <c r="E41" s="377" t="n"/>
      <c r="F41" s="377" t="n"/>
      <c r="G41" s="377" t="n"/>
      <c r="H41" s="377" t="n"/>
      <c r="I41" s="377" t="n"/>
      <c r="J41" s="377" t="n"/>
      <c r="K41" s="377" t="n"/>
      <c r="L41" s="377" t="n"/>
      <c r="M41" s="377" t="n"/>
      <c r="N41" s="377" t="n"/>
    </row>
    <row r="42" ht="24" customHeight="1" s="282">
      <c r="B42" s="379" t="inlineStr">
        <is>
          <t xml:space="preserve">                          אלחדד יגאל ורונן  רואי חשבון</t>
        </is>
      </c>
      <c r="C42" s="379" t="n"/>
      <c r="D42" s="379" t="n"/>
      <c r="E42" s="379" t="n"/>
      <c r="F42" s="379" t="n"/>
      <c r="G42" s="379" t="n"/>
      <c r="H42" s="379" t="n"/>
      <c r="I42" s="379" t="n"/>
      <c r="J42" s="379" t="n"/>
      <c r="K42" s="379" t="n"/>
      <c r="L42" s="379" t="n"/>
      <c r="M42" s="379" t="n"/>
      <c r="N42" s="379" t="n"/>
    </row>
    <row r="43" ht="24" customHeight="1" s="282" thickBot="1">
      <c r="B43" s="380" t="n"/>
      <c r="C43" s="381" t="n"/>
      <c r="D43" s="381" t="n"/>
      <c r="E43" s="381" t="n"/>
      <c r="F43" s="381" t="n"/>
      <c r="G43" s="381" t="n"/>
      <c r="H43" s="381" t="n"/>
      <c r="I43" s="381" t="n"/>
      <c r="J43" s="381" t="n"/>
      <c r="K43" s="382" t="n"/>
      <c r="L43" s="381" t="n"/>
      <c r="M43" s="381" t="n"/>
      <c r="N43" s="381" t="n"/>
    </row>
    <row r="44" ht="24" customHeight="1" s="282">
      <c r="C44" s="383" t="n"/>
      <c r="D44" s="383" t="n"/>
      <c r="E44" s="383" t="n"/>
      <c r="F44" s="383" t="n"/>
      <c r="G44" s="383" t="n"/>
      <c r="H44" s="383" t="n"/>
      <c r="I44" s="383" t="n"/>
      <c r="J44" s="383" t="n"/>
      <c r="K44" s="384" t="n"/>
      <c r="L44" s="383" t="n"/>
      <c r="M44" s="383" t="n"/>
      <c r="N44" s="383" t="n"/>
    </row>
    <row r="45" ht="24" customHeight="1" s="282">
      <c r="B45" s="385" t="n"/>
      <c r="C45" s="383" t="n"/>
      <c r="D45" s="383" t="n"/>
      <c r="E45" s="383" t="n"/>
      <c r="F45" s="383" t="n"/>
      <c r="G45" s="383" t="n"/>
      <c r="H45" s="383" t="n"/>
      <c r="I45" s="383" t="n"/>
      <c r="J45" s="383" t="n"/>
      <c r="K45" s="384" t="n"/>
      <c r="L45" s="383" t="n"/>
      <c r="M45" s="383" t="n"/>
      <c r="N45" s="383" t="n"/>
    </row>
    <row r="46" ht="24" customHeight="1" s="282">
      <c r="B46" s="385" t="n"/>
      <c r="C46" s="383" t="n"/>
      <c r="D46" s="383" t="n"/>
      <c r="E46" s="383" t="n"/>
      <c r="F46" s="383" t="n"/>
      <c r="G46" s="383" t="n"/>
      <c r="H46" s="383" t="n"/>
      <c r="I46" s="383" t="n"/>
      <c r="J46" s="383" t="n"/>
      <c r="K46" s="384" t="n"/>
      <c r="L46" s="383" t="n"/>
      <c r="M46" s="383" t="n"/>
      <c r="N46" s="383" t="n"/>
    </row>
    <row r="47" ht="24" customHeight="1" s="282">
      <c r="B47" s="385" t="n"/>
      <c r="C47" s="383" t="n"/>
      <c r="D47" s="383" t="n"/>
      <c r="E47" s="383" t="n"/>
      <c r="F47" s="383" t="n"/>
      <c r="G47" s="383" t="n"/>
      <c r="H47" s="383" t="n"/>
      <c r="I47" s="383" t="n"/>
      <c r="J47" s="383" t="n"/>
      <c r="K47" s="384" t="n"/>
      <c r="L47" s="383" t="n"/>
      <c r="M47" s="383" t="n"/>
      <c r="N47" s="383" t="n"/>
    </row>
    <row r="48" ht="24" customHeight="1" s="282">
      <c r="B48" s="385" t="n"/>
      <c r="C48" s="383" t="n"/>
      <c r="D48" s="383" t="n"/>
      <c r="E48" s="383" t="n"/>
      <c r="F48" s="383" t="n"/>
      <c r="G48" s="383" t="n"/>
      <c r="H48" s="383" t="n"/>
      <c r="I48" s="383" t="n"/>
      <c r="J48" s="383" t="n"/>
      <c r="K48" s="384" t="n"/>
      <c r="L48" s="383" t="n"/>
      <c r="M48" s="383" t="n"/>
      <c r="N48" s="383" t="n"/>
    </row>
    <row r="49" ht="24" customHeight="1" s="282">
      <c r="B49" s="385" t="n"/>
      <c r="C49" s="383" t="n"/>
      <c r="D49" s="383" t="n"/>
      <c r="E49" s="383" t="n"/>
      <c r="F49" s="383" t="n"/>
      <c r="G49" s="383" t="n"/>
      <c r="H49" s="383" t="n"/>
      <c r="I49" s="383" t="n"/>
      <c r="J49" s="383" t="n"/>
      <c r="K49" s="384" t="n"/>
      <c r="L49" s="383" t="n"/>
      <c r="M49" s="383" t="n"/>
      <c r="N49" s="383" t="n"/>
    </row>
    <row r="50" ht="24" customHeight="1" s="282">
      <c r="B50" s="385" t="n"/>
      <c r="C50" s="383" t="n"/>
      <c r="D50" s="383" t="n"/>
      <c r="E50" s="383" t="n"/>
      <c r="F50" s="383" t="n"/>
      <c r="G50" s="383" t="n"/>
      <c r="H50" s="383" t="n"/>
      <c r="I50" s="383" t="n"/>
      <c r="J50" s="383" t="n"/>
      <c r="K50" s="384" t="n"/>
      <c r="L50" s="383" t="n"/>
      <c r="M50" s="383" t="n"/>
      <c r="N50" s="383" t="n"/>
    </row>
    <row r="51" ht="24.75" customHeight="1" s="282">
      <c r="B51" s="386">
        <f>J4</f>
        <v/>
      </c>
    </row>
    <row r="52" ht="24" customHeight="1" s="282">
      <c r="B52" s="386" t="inlineStr">
        <is>
          <t>דוחות כספיים</t>
        </is>
      </c>
    </row>
    <row r="53" ht="24" customHeight="1" s="282">
      <c r="B53" s="386">
        <f>B1</f>
        <v/>
      </c>
    </row>
    <row r="60">
      <c r="B60" s="387" t="inlineStr">
        <is>
          <t>התוכן</t>
        </is>
      </c>
    </row>
    <row r="62">
      <c r="G62" s="298" t="inlineStr">
        <is>
          <t xml:space="preserve">דו"ח רואי החשבון המבקרים . . . . . . . . . . . . . . . . . . . . . . . . . . . . . . . . . . . . . . . . . . . . . . . . . . . . . . . . . . . . . . . . </t>
        </is>
      </c>
      <c r="N62" s="298" t="n">
        <v>2</v>
      </c>
    </row>
    <row r="64">
      <c r="G64" s="388" t="inlineStr">
        <is>
          <t>דוחות כספיים:</t>
        </is>
      </c>
    </row>
    <row r="65" ht="41" customHeight="1" s="282">
      <c r="B65" s="389" t="n"/>
      <c r="C65" s="389" t="n"/>
      <c r="D65" s="389" t="n"/>
      <c r="E65" s="389" t="n"/>
      <c r="G65" s="390" t="inlineStr">
        <is>
          <t>מאזן ………………………………………………………………………………..</t>
        </is>
      </c>
      <c r="I65" s="389" t="n"/>
      <c r="J65" s="389" t="n"/>
      <c r="L65" s="389" t="n"/>
      <c r="M65" s="389" t="n"/>
      <c r="N65" s="298" t="n">
        <v>3</v>
      </c>
    </row>
    <row r="66" ht="41" customHeight="1" s="282">
      <c r="B66" s="389" t="n"/>
      <c r="C66" s="389" t="n"/>
      <c r="D66" s="389" t="n"/>
      <c r="E66" s="389" t="n"/>
      <c r="G66" s="390" t="inlineStr">
        <is>
          <t>דו"ח רווח והפסד ……………………………………………………………………….</t>
        </is>
      </c>
      <c r="I66" s="389" t="n"/>
      <c r="J66" s="389" t="n"/>
      <c r="K66" s="369" t="n"/>
      <c r="L66" s="389" t="n"/>
      <c r="M66" s="389" t="n"/>
      <c r="N66" s="298" t="n">
        <v>4</v>
      </c>
    </row>
    <row r="67" ht="41" customHeight="1" s="282">
      <c r="B67" s="389" t="n"/>
      <c r="C67" s="391" t="n"/>
      <c r="D67" s="389" t="n"/>
      <c r="E67" s="389" t="n"/>
      <c r="G67" s="390" t="inlineStr">
        <is>
          <t>באורים לדוחות הכספיים ……………………………………………………………..</t>
        </is>
      </c>
      <c r="I67" s="389" t="n"/>
      <c r="J67" s="389" t="n"/>
      <c r="L67" s="389" t="n"/>
      <c r="M67" s="389" t="n"/>
      <c r="N67" s="390" t="inlineStr">
        <is>
          <t>5-7</t>
        </is>
      </c>
    </row>
    <row r="69">
      <c r="B69" s="298" t="n"/>
      <c r="C69" s="298" t="n"/>
      <c r="D69" s="298" t="n"/>
      <c r="E69" s="298" t="n"/>
      <c r="F69" s="298" t="n"/>
      <c r="G69" s="298" t="n"/>
      <c r="H69" s="298" t="n"/>
      <c r="I69" s="298" t="n"/>
      <c r="J69" s="298" t="n"/>
      <c r="K69" s="369" t="n"/>
      <c r="L69" s="298" t="n"/>
      <c r="M69" s="298" t="n"/>
      <c r="N69" s="298" t="n"/>
    </row>
    <row r="70">
      <c r="B70" s="298" t="inlineStr">
        <is>
          <t xml:space="preserve">     אלחדד יגאל - רואה חשבון                                                                          (.ELHADAD IGAL C.P.A (Isr</t>
        </is>
      </c>
      <c r="C70" s="298" t="n"/>
      <c r="D70" s="298" t="n"/>
      <c r="E70" s="298" t="n"/>
      <c r="F70" s="298" t="n"/>
      <c r="G70" s="298" t="n"/>
      <c r="H70" s="298" t="n"/>
      <c r="I70" s="298" t="n"/>
      <c r="J70" s="298" t="n"/>
      <c r="K70" s="369" t="n"/>
      <c r="L70" s="298" t="n"/>
      <c r="M70" s="298" t="n"/>
      <c r="N70" s="298" t="n"/>
    </row>
    <row r="71">
      <c r="B71" s="298" t="n"/>
      <c r="C71" s="298" t="n"/>
      <c r="D71" s="298" t="n"/>
      <c r="E71" s="298" t="n"/>
      <c r="F71" s="298" t="n"/>
      <c r="G71" s="298" t="n"/>
      <c r="H71" s="298" t="n"/>
      <c r="I71" s="298" t="n"/>
      <c r="J71" s="298" t="n"/>
      <c r="K71" s="369" t="n"/>
      <c r="L71" s="298" t="n"/>
      <c r="M71" s="298" t="n"/>
      <c r="N71" s="298" t="n"/>
    </row>
    <row r="72">
      <c r="B72" s="298" t="inlineStr">
        <is>
          <t xml:space="preserve">    אלחדד רונן - רואה חשבון                                                                        (.ELHADAD RONEN C.P.A (Isr</t>
        </is>
      </c>
      <c r="C72" s="298" t="n"/>
      <c r="D72" s="298" t="n"/>
      <c r="E72" s="298" t="n"/>
      <c r="F72" s="298" t="n"/>
      <c r="G72" s="298" t="n"/>
      <c r="H72" s="298" t="n"/>
      <c r="I72" s="298" t="n"/>
      <c r="J72" s="298" t="n"/>
      <c r="K72" s="369" t="n"/>
      <c r="L72" s="298" t="n"/>
      <c r="M72" s="298" t="n"/>
      <c r="N72" s="298" t="n"/>
    </row>
    <row r="73">
      <c r="B73" s="392" t="n"/>
      <c r="C73" s="392" t="n"/>
      <c r="D73" s="392" t="n"/>
      <c r="E73" s="392" t="n"/>
      <c r="F73" s="392" t="n"/>
      <c r="G73" s="392" t="n"/>
      <c r="H73" s="392" t="n"/>
      <c r="I73" s="392" t="n"/>
      <c r="J73" s="392" t="n"/>
      <c r="K73" s="393" t="n"/>
      <c r="L73" s="392" t="n"/>
      <c r="M73" s="392" t="n"/>
      <c r="N73" s="392" t="n"/>
    </row>
    <row r="74">
      <c r="B74" s="298" t="n"/>
      <c r="C74" s="298" t="n"/>
      <c r="D74" s="298" t="n"/>
      <c r="E74" s="298" t="n"/>
      <c r="F74" s="298" t="n"/>
      <c r="G74" s="298" t="n"/>
      <c r="H74" s="298" t="n"/>
      <c r="I74" s="298" t="n"/>
      <c r="J74" s="298" t="n"/>
      <c r="K74" s="369" t="n"/>
      <c r="L74" s="298" t="n"/>
      <c r="M74" s="298" t="n"/>
      <c r="N74" s="298" t="n"/>
    </row>
    <row r="75">
      <c r="B75" s="298" t="n"/>
      <c r="C75" s="298" t="n"/>
      <c r="D75" s="298" t="n"/>
      <c r="E75" s="298" t="n"/>
      <c r="F75" s="298" t="n"/>
      <c r="G75" s="298" t="n"/>
      <c r="H75" s="298" t="n"/>
      <c r="I75" s="298" t="n"/>
      <c r="J75" s="298" t="n"/>
      <c r="K75" s="369" t="n"/>
      <c r="L75" s="298" t="n"/>
      <c r="M75" s="298" t="n"/>
      <c r="N75" s="298" t="n"/>
    </row>
    <row r="76">
      <c r="B76" s="298" t="n"/>
      <c r="C76" s="298" t="n"/>
      <c r="D76" s="298" t="n"/>
      <c r="E76" s="298" t="n"/>
      <c r="F76" s="298" t="n"/>
      <c r="G76" s="298" t="n"/>
      <c r="H76" s="298" t="n"/>
      <c r="I76" s="298" t="n"/>
      <c r="J76" s="298" t="n"/>
      <c r="K76" s="369" t="n"/>
      <c r="L76" s="298" t="n"/>
      <c r="M76" s="298" t="n"/>
      <c r="N76" s="298" t="n"/>
    </row>
    <row r="77">
      <c r="B77" s="298" t="n"/>
      <c r="C77" s="298" t="n"/>
      <c r="D77" s="298" t="n"/>
      <c r="E77" s="298" t="n"/>
      <c r="F77" s="298" t="n"/>
      <c r="G77" s="298" t="n"/>
      <c r="H77" s="298" t="n"/>
      <c r="I77" s="298" t="n"/>
      <c r="J77" s="298" t="n"/>
      <c r="K77" s="369" t="n"/>
      <c r="L77" s="298" t="n"/>
      <c r="M77" s="298" t="n"/>
      <c r="N77" s="298" t="n"/>
    </row>
    <row r="78">
      <c r="B78" s="298" t="n"/>
      <c r="C78" s="298" t="n"/>
      <c r="D78" s="298" t="n"/>
      <c r="E78" s="298" t="n"/>
      <c r="F78" s="298" t="n"/>
      <c r="G78" s="298" t="n"/>
      <c r="H78" s="298" t="n"/>
      <c r="I78" s="298" t="n"/>
      <c r="J78" s="298" t="n"/>
      <c r="K78" s="369" t="n"/>
      <c r="L78" s="298" t="n"/>
      <c r="M78" s="298" t="n"/>
      <c r="N78" s="298" t="n"/>
    </row>
    <row r="80" ht="21" customHeight="1" s="282">
      <c r="B80" s="394" t="inlineStr">
        <is>
          <t>דו"ח רואי החשבון המבקרים לבעלי המניות של</t>
        </is>
      </c>
    </row>
    <row r="81" ht="21" customHeight="1" s="282">
      <c r="B81" s="394">
        <f>J4</f>
        <v/>
      </c>
    </row>
    <row r="83">
      <c r="B83" s="395" t="n"/>
      <c r="C83" s="395" t="n"/>
      <c r="D83" s="395" t="n"/>
      <c r="E83" s="395" t="n"/>
      <c r="F83" s="395" t="n"/>
      <c r="G83" s="395" t="n"/>
      <c r="H83" s="395" t="n"/>
      <c r="I83" s="395" t="n"/>
      <c r="J83" s="395" t="n"/>
      <c r="K83" s="396" t="n"/>
      <c r="L83" s="395" t="n"/>
      <c r="M83" s="395" t="n"/>
      <c r="N83" s="395" t="n"/>
    </row>
    <row r="84" ht="64.5" customHeight="1" s="282">
      <c r="B84" s="397" t="inlineStr">
        <is>
          <t xml:space="preserve">ביקרנו את המאזנים המצורפים של מירון ראובן עבודות ציבוריות בע"מ (להלן-החברה) לימים 31 בדצמבר 2024 ו-2023 ואת דו"חות רווח וההפסד לכל אחת מהשנים שהסתיימו באותם תאריכים. דוחות כספיים אלה הינם באחריות הדירקטוריון וההנהלה של החברה. אחריותנו היא לחוות דיעה על דוחות כספיים אלה בהתבסס על ביקורתנו.  </t>
        </is>
      </c>
    </row>
    <row r="85">
      <c r="B85" s="298" t="n"/>
      <c r="C85" s="298" t="n"/>
      <c r="D85" s="298" t="n"/>
      <c r="E85" s="298" t="n"/>
      <c r="F85" s="298" t="n"/>
      <c r="G85" s="298" t="n"/>
      <c r="H85" s="298" t="n"/>
      <c r="I85" s="298" t="n"/>
      <c r="J85" s="298" t="n"/>
      <c r="K85" s="369" t="n"/>
      <c r="L85" s="298" t="n"/>
      <c r="M85" s="298" t="n"/>
      <c r="N85" s="298" t="n"/>
    </row>
    <row r="86" ht="99" customHeight="1" s="282">
      <c r="B86" s="269" t="inlineStr">
        <is>
          <t xml:space="preserve">ערכנו את ביקורתנו בהתאם לתקני ביקורת מקובלים, לרבות תקנים שנקבעו בתקנות רואי חשבון (דרך פעולתו של רואה  חשבון), התשל"ג-1973. על-פי תקנים אלה נדרש מאיתנו לתכנן את הביקורת ולבצעה במטרה להשיג מידה סבירה של ביטחון שאין בדוחות הכספיים הצגה מוטעית מהותית. ביקורת כוללת גם בדיקה מידגמית של ראיות התומכות בסכומים ובמידע שבדוחות הכספיים. ביקורת כוללת גם בחינה של כללי החשבונאות שיושמו ושל האומדנים המשמעותיים שנעשו על ידי הדירקטוריון וההנהלה של החברה וכן הערכת נאותות ההצגה בדוחות הכספיים בכללותם. אנו סבורים שביקורתנו מספקת בסיס נאות לחוות דעתנו.  </t>
        </is>
      </c>
    </row>
    <row r="87">
      <c r="B87" s="298" t="n"/>
      <c r="C87" s="298" t="n"/>
      <c r="D87" s="298" t="n"/>
      <c r="E87" s="298" t="n"/>
      <c r="F87" s="298" t="n"/>
      <c r="G87" s="298" t="n"/>
      <c r="H87" s="298" t="n"/>
      <c r="I87" s="298" t="n"/>
      <c r="J87" s="298" t="n"/>
      <c r="K87" s="369" t="n"/>
      <c r="L87" s="298" t="n"/>
      <c r="M87" s="298" t="n"/>
      <c r="N87" s="298" t="n"/>
    </row>
    <row r="88" ht="50.25" customHeight="1" s="282">
      <c r="B88" s="269" t="inlineStr">
        <is>
          <t xml:space="preserve">לדעתנו, הדוחות הכספיים הנ"ל משקפים באופן נאות , מכל הבחינות המהותיות, את מצבה הכספי של החברה לימים 31 בדצמבר 2024 ו-2023 ואת תוצאות פעולותיה לכל אחת מהשנים שהסתיימו באותם תאריכים בהתאם לכללי חשבונאות מקובלים בישראל (Israeli GAAP).  </t>
        </is>
      </c>
    </row>
    <row r="89" ht="54" customHeight="1" s="282">
      <c r="B89" s="277" t="n"/>
    </row>
    <row r="95">
      <c r="B95" s="298" t="inlineStr">
        <is>
          <t xml:space="preserve">                                                                                                                         אלחדד יגאל ורונן רואי חשבון</t>
        </is>
      </c>
    </row>
    <row r="100">
      <c r="B100" s="390">
        <f>B3</f>
        <v/>
      </c>
    </row>
    <row r="101">
      <c r="B101" s="298">
        <f>B4</f>
        <v/>
      </c>
    </row>
    <row r="105">
      <c r="B105" s="392" t="n"/>
      <c r="C105" s="392" t="n"/>
      <c r="D105" s="392" t="n"/>
      <c r="E105" s="392" t="n"/>
      <c r="F105" s="392" t="n"/>
      <c r="G105" s="392" t="n"/>
      <c r="H105" s="392" t="n"/>
      <c r="I105" s="392" t="n"/>
      <c r="J105" s="392" t="n"/>
      <c r="K105" s="393" t="n"/>
      <c r="L105" s="392" t="n"/>
      <c r="M105" s="392" t="n"/>
      <c r="N105" s="392" t="n"/>
    </row>
    <row r="106">
      <c r="B106" s="298" t="inlineStr">
        <is>
          <t xml:space="preserve">                                      "בית דניאל "רוטשילד 15 חדרה  38205  טלפון 04-6326960  פקס 04-6228126  Email-elhadad@elhadad.co.il</t>
        </is>
      </c>
    </row>
    <row r="108" ht="21" customFormat="1" customHeight="1" s="398">
      <c r="A108" s="368" t="n"/>
      <c r="B108" s="399">
        <f>J4</f>
        <v/>
      </c>
      <c r="C108" s="400" t="n"/>
      <c r="D108" s="400" t="n"/>
      <c r="E108" s="400" t="n"/>
      <c r="F108" s="400" t="n"/>
      <c r="G108" s="400" t="n"/>
      <c r="H108" s="400" t="n"/>
      <c r="I108" s="400" t="n"/>
      <c r="J108" s="400" t="n"/>
      <c r="K108" s="394" t="n"/>
      <c r="L108" s="400" t="n"/>
      <c r="M108" s="400" t="n"/>
      <c r="N108" s="400" t="n"/>
      <c r="O108" s="401" t="n"/>
      <c r="P108" s="401" t="n"/>
      <c r="Q108" s="401" t="n"/>
      <c r="R108" s="401" t="n"/>
      <c r="S108" s="401" t="n"/>
    </row>
    <row r="109" ht="21" customFormat="1" customHeight="1" s="402">
      <c r="A109" s="368" t="n"/>
      <c r="B109" s="403" t="inlineStr">
        <is>
          <t>מאזנים</t>
        </is>
      </c>
      <c r="C109" s="404" t="n"/>
      <c r="D109" s="404" t="n"/>
      <c r="E109" s="404" t="n"/>
      <c r="F109" s="404" t="n"/>
      <c r="G109" s="404" t="n"/>
      <c r="H109" s="404" t="n"/>
      <c r="I109" s="404" t="n"/>
      <c r="J109" s="404" t="n"/>
      <c r="K109" s="405" t="n"/>
      <c r="L109" s="404" t="n"/>
      <c r="M109" s="404" t="n"/>
      <c r="N109" s="403" t="inlineStr">
        <is>
          <t>בשקלים חדשים</t>
        </is>
      </c>
      <c r="O109" s="406" t="n"/>
      <c r="P109" s="406" t="n"/>
      <c r="Q109" s="406" t="n"/>
      <c r="R109" s="406" t="n"/>
      <c r="S109" s="406" t="n"/>
    </row>
    <row r="112">
      <c r="M112" s="407">
        <f>B5</f>
        <v/>
      </c>
    </row>
    <row r="113">
      <c r="K113" s="387" t="inlineStr">
        <is>
          <t>באור</t>
        </is>
      </c>
      <c r="L113" s="408" t="n"/>
      <c r="M113" s="133" t="n">
        <v>2024</v>
      </c>
      <c r="N113" s="133" t="n">
        <v>2023</v>
      </c>
    </row>
    <row r="114">
      <c r="L114" s="389" t="n"/>
    </row>
    <row r="115">
      <c r="B115" s="409" t="inlineStr">
        <is>
          <t>רכוש שוטף</t>
        </is>
      </c>
      <c r="L115" s="389" t="n"/>
    </row>
    <row r="116">
      <c r="B116" s="409" t="n"/>
      <c r="L116" s="389" t="n"/>
    </row>
    <row r="117">
      <c r="B117" s="409" t="n"/>
      <c r="C117" s="298" t="inlineStr">
        <is>
          <t>מזומנים ושווי מזומנים</t>
        </is>
      </c>
      <c r="L117" s="389" t="n"/>
      <c r="M117" s="298">
        <f>#REF!-2</f>
        <v/>
      </c>
      <c r="N117" s="298" t="n">
        <v>987541.1799999999</v>
      </c>
    </row>
    <row r="118">
      <c r="B118" s="388" t="n"/>
      <c r="C118" s="298" t="inlineStr">
        <is>
          <t>חייבים ויתרות חובה</t>
        </is>
      </c>
      <c r="K118" s="410" t="inlineStr">
        <is>
          <t>[ 3]</t>
        </is>
      </c>
      <c r="L118" s="389" t="n"/>
      <c r="M118" s="411">
        <f>M248</f>
        <v/>
      </c>
      <c r="N118" s="411">
        <f>N248</f>
        <v/>
      </c>
    </row>
    <row r="119" ht="19" customHeight="1" s="282">
      <c r="B119" s="388" t="n"/>
      <c r="C119" s="298" t="inlineStr">
        <is>
          <t>מלאי עבודות בבצוע</t>
        </is>
      </c>
      <c r="K119" s="410" t="n"/>
      <c r="L119" s="389" t="n"/>
      <c r="M119" s="412">
        <f>#REF!</f>
        <v/>
      </c>
      <c r="N119" s="412" t="n">
        <v>37488</v>
      </c>
    </row>
    <row r="120" ht="17" customHeight="1" s="282" thickBot="1">
      <c r="L120" s="389" t="n"/>
      <c r="M120" s="413">
        <f>SUM(M117:M119)</f>
        <v/>
      </c>
      <c r="N120" s="413">
        <f>SUM(N117:N119)</f>
        <v/>
      </c>
    </row>
    <row r="121">
      <c r="L121" s="389" t="n"/>
    </row>
    <row r="122" ht="21.75" customHeight="1" s="282">
      <c r="A122" s="368" t="n">
        <v>15</v>
      </c>
      <c r="B122" s="409" t="inlineStr">
        <is>
          <t>רכוש קבוע</t>
        </is>
      </c>
      <c r="K122" s="414" t="n"/>
      <c r="L122" s="415" t="n"/>
      <c r="N122" s="412" t="n"/>
    </row>
    <row r="123" ht="21.75" customHeight="1" s="282">
      <c r="B123" s="409" t="n"/>
      <c r="C123" s="298" t="inlineStr">
        <is>
          <t>עלות</t>
        </is>
      </c>
      <c r="K123" s="414" t="n"/>
      <c r="L123" s="415" t="n"/>
      <c r="M123" s="411">
        <f>#REF!</f>
        <v/>
      </c>
      <c r="N123" s="411" t="n">
        <v>122815.76</v>
      </c>
      <c r="P123" s="370">
        <f>M123-N123</f>
        <v/>
      </c>
    </row>
    <row r="124" ht="21.75" customHeight="1" s="282">
      <c r="B124" s="409" t="n"/>
      <c r="C124" s="298" t="inlineStr">
        <is>
          <t>פחת נצבר</t>
        </is>
      </c>
      <c r="K124" s="414" t="n"/>
      <c r="L124" s="415" t="n"/>
      <c r="M124" s="412">
        <f>#REF!</f>
        <v/>
      </c>
      <c r="N124" s="412" t="n">
        <v>-100937</v>
      </c>
    </row>
    <row r="125" ht="21.75" customHeight="1" s="282">
      <c r="A125" s="368" t="n">
        <v>15.5</v>
      </c>
      <c r="B125" s="388" t="n"/>
      <c r="L125" s="389" t="n"/>
      <c r="M125" s="416">
        <f>SUM(M123:M124)</f>
        <v/>
      </c>
      <c r="N125" s="416">
        <f>SUM(N123:N124)</f>
        <v/>
      </c>
    </row>
    <row r="126" ht="19" customHeight="1" s="282">
      <c r="L126" s="389" t="n"/>
      <c r="M126" s="417">
        <f>M125+M120</f>
        <v/>
      </c>
      <c r="N126" s="417">
        <f>N125+N120</f>
        <v/>
      </c>
    </row>
    <row r="127" ht="19" customHeight="1" s="282">
      <c r="L127" s="389" t="n"/>
      <c r="N127" s="417" t="n"/>
    </row>
    <row r="128">
      <c r="B128" s="409" t="inlineStr">
        <is>
          <t>התחייבויות שוטפות</t>
        </is>
      </c>
      <c r="L128" s="389" t="n"/>
    </row>
    <row r="129">
      <c r="B129" s="409" t="n"/>
      <c r="L129" s="389" t="n"/>
    </row>
    <row r="130">
      <c r="B130" s="409" t="n"/>
      <c r="C130" s="298" t="inlineStr">
        <is>
          <t>שקים לפרעון</t>
        </is>
      </c>
      <c r="L130" s="389" t="n"/>
      <c r="M130" s="411">
        <f>#REF!*-1</f>
        <v/>
      </c>
      <c r="N130" s="411" t="n">
        <v>3564.29</v>
      </c>
    </row>
    <row r="131" ht="19" customHeight="1" s="282">
      <c r="C131" s="298" t="inlineStr">
        <is>
          <t>זכאים ויתרות זכות</t>
        </is>
      </c>
      <c r="K131" s="414" t="inlineStr">
        <is>
          <t>[ 4]</t>
        </is>
      </c>
      <c r="L131" s="415" t="n"/>
      <c r="M131" s="412">
        <f>M258</f>
        <v/>
      </c>
      <c r="N131" s="412">
        <f>N258</f>
        <v/>
      </c>
    </row>
    <row r="132" ht="19" customHeight="1" s="282">
      <c r="K132" s="418" t="n"/>
      <c r="L132" s="415" t="n"/>
      <c r="M132" s="412">
        <f>SUM(M130:M131)</f>
        <v/>
      </c>
      <c r="N132" s="412">
        <f>SUM(N130:N131)</f>
        <v/>
      </c>
    </row>
    <row r="133" ht="19" customHeight="1" s="282">
      <c r="K133" s="418" t="n"/>
      <c r="L133" s="415" t="n"/>
      <c r="N133" s="412" t="n"/>
    </row>
    <row r="134" ht="19" customHeight="1" s="282">
      <c r="K134" s="418" t="n"/>
      <c r="L134" s="415" t="n"/>
      <c r="N134" s="412" t="n"/>
    </row>
    <row r="135" ht="19" customHeight="1" s="282">
      <c r="K135" s="418" t="n"/>
      <c r="L135" s="415" t="n"/>
      <c r="N135" s="412" t="n"/>
      <c r="Q135" s="370" t="n">
        <v>100</v>
      </c>
    </row>
    <row r="136">
      <c r="B136" s="409" t="inlineStr">
        <is>
          <t>הון ועודפים</t>
        </is>
      </c>
      <c r="K136" s="418" t="n"/>
      <c r="L136" s="415" t="n"/>
      <c r="M136" s="389" t="n"/>
      <c r="Q136" s="370" t="n">
        <v>634366.3250000002</v>
      </c>
    </row>
    <row r="137">
      <c r="B137" s="409" t="n"/>
      <c r="K137" s="418" t="n"/>
      <c r="L137" s="415" t="n"/>
      <c r="M137" s="389" t="n"/>
      <c r="Q137" s="370" t="n">
        <v>634466.3250000002</v>
      </c>
    </row>
    <row r="138">
      <c r="A138" s="368" t="n">
        <v>37.21</v>
      </c>
      <c r="C138" s="298" t="inlineStr">
        <is>
          <t>הון המניות</t>
        </is>
      </c>
      <c r="K138" s="414" t="inlineStr">
        <is>
          <t>[ 6]</t>
        </is>
      </c>
      <c r="L138" s="415" t="n"/>
      <c r="M138" s="298">
        <f>#REF!*-1</f>
        <v/>
      </c>
      <c r="N138" s="411" t="n">
        <v>100</v>
      </c>
      <c r="P138" s="370" t="n">
        <v>100</v>
      </c>
      <c r="Q138" s="370" t="n">
        <v>100</v>
      </c>
    </row>
    <row r="139" ht="19" customHeight="1" s="282">
      <c r="C139" s="390" t="inlineStr">
        <is>
          <t>יתרת  רווח</t>
        </is>
      </c>
      <c r="L139" s="389" t="n"/>
      <c r="M139" s="412">
        <f>M176</f>
        <v/>
      </c>
      <c r="N139" s="412" t="n">
        <v>1145770.208</v>
      </c>
      <c r="P139" s="370" t="n">
        <v>902284.0475000001</v>
      </c>
      <c r="Q139" s="370" t="n">
        <v>800041.2100000001</v>
      </c>
    </row>
    <row r="140" ht="19" customHeight="1" s="282">
      <c r="L140" s="389" t="n"/>
      <c r="M140" s="412">
        <f>SUM(M138:M139)</f>
        <v/>
      </c>
      <c r="N140" s="412">
        <f>SUM(N138:N139)</f>
        <v/>
      </c>
      <c r="P140" s="370" t="n">
        <v>902384.0475000001</v>
      </c>
      <c r="Q140" s="370" t="n">
        <v>800141.2100000001</v>
      </c>
    </row>
    <row r="141" ht="19" customHeight="1" s="282">
      <c r="M141" s="417">
        <f>M132+M140</f>
        <v/>
      </c>
      <c r="N141" s="417">
        <f>N132+N140</f>
        <v/>
      </c>
      <c r="P141" s="370" t="n">
        <v>1000893.2575</v>
      </c>
      <c r="Q141" s="370" t="n">
        <v>901231.0000000001</v>
      </c>
    </row>
    <row r="142" ht="19" customHeight="1" s="282">
      <c r="L142" s="389" t="n"/>
      <c r="N142" s="417" t="n"/>
    </row>
    <row r="143" ht="19" customHeight="1" s="282">
      <c r="L143" s="389" t="n"/>
      <c r="N143" s="417" t="n"/>
    </row>
    <row r="144" ht="19" customHeight="1" s="282">
      <c r="L144" s="389" t="n"/>
      <c r="N144" s="417" t="n"/>
    </row>
    <row r="145" ht="19" customHeight="1" s="282">
      <c r="L145" s="389" t="n"/>
      <c r="N145" s="417" t="n"/>
    </row>
    <row r="146">
      <c r="L146" s="389" t="n"/>
      <c r="N146" s="298" t="inlineStr">
        <is>
          <t>_________</t>
        </is>
      </c>
    </row>
    <row r="147">
      <c r="L147" s="389" t="n"/>
      <c r="N147" s="419" t="inlineStr">
        <is>
          <t>דירקטור</t>
        </is>
      </c>
    </row>
    <row r="148" ht="19" customHeight="1" s="282">
      <c r="L148" s="389" t="n"/>
      <c r="N148" s="417" t="n"/>
    </row>
    <row r="149" ht="19" customHeight="1" s="282">
      <c r="L149" s="389" t="n"/>
      <c r="N149" s="417" t="n"/>
    </row>
    <row r="150" ht="19" customHeight="1" s="282">
      <c r="L150" s="389" t="n"/>
      <c r="N150" s="417" t="n"/>
    </row>
    <row r="151" ht="19" customHeight="1" s="282">
      <c r="B151" s="409" t="n"/>
      <c r="L151" s="389" t="n"/>
      <c r="N151" s="417" t="n"/>
    </row>
    <row r="152" ht="19" customHeight="1" s="282">
      <c r="B152" s="409" t="n"/>
      <c r="L152" s="389" t="n"/>
      <c r="N152" s="417" t="n"/>
    </row>
    <row r="153" ht="19" customHeight="1" s="282">
      <c r="L153" s="389" t="n"/>
      <c r="N153" s="417" t="n"/>
    </row>
    <row r="154" ht="19" customHeight="1" s="282">
      <c r="L154" s="389" t="n"/>
      <c r="N154" s="417" t="n"/>
    </row>
    <row r="155">
      <c r="B155" s="409" t="inlineStr">
        <is>
          <t>הבאורים לדוחות הכספיים מהווים חלק בלתי נפרד מהם.</t>
        </is>
      </c>
      <c r="L155" s="389" t="n"/>
    </row>
    <row r="156" ht="21" customFormat="1" customHeight="1" s="398">
      <c r="A156" s="368" t="n"/>
      <c r="B156" s="399">
        <f>$J$4</f>
        <v/>
      </c>
      <c r="C156" s="400" t="n"/>
      <c r="D156" s="400" t="n"/>
      <c r="E156" s="400" t="n"/>
      <c r="F156" s="400" t="n"/>
      <c r="G156" s="400" t="n"/>
      <c r="H156" s="400" t="n"/>
      <c r="I156" s="400" t="n"/>
      <c r="J156" s="400" t="n"/>
      <c r="K156" s="394" t="n"/>
      <c r="L156" s="400" t="n"/>
      <c r="M156" s="400" t="n"/>
      <c r="N156" s="400" t="n"/>
      <c r="O156" s="401" t="n"/>
      <c r="P156" s="401" t="n"/>
      <c r="Q156" s="401" t="n"/>
      <c r="R156" s="401" t="n"/>
      <c r="S156" s="401" t="n"/>
    </row>
    <row r="157" ht="21" customFormat="1" customHeight="1" s="402">
      <c r="A157" s="368" t="n"/>
      <c r="B157" s="420" t="inlineStr">
        <is>
          <t>דו"חות רווח והפסד</t>
        </is>
      </c>
      <c r="C157" s="404" t="n"/>
      <c r="D157" s="404" t="n"/>
      <c r="E157" s="404" t="n"/>
      <c r="F157" s="404" t="n"/>
      <c r="G157" s="404" t="n"/>
      <c r="H157" s="404" t="n"/>
      <c r="I157" s="404" t="n"/>
      <c r="J157" s="404" t="n"/>
      <c r="K157" s="405" t="n"/>
      <c r="L157" s="404" t="n"/>
      <c r="M157" s="404" t="n"/>
      <c r="N157" s="403" t="inlineStr">
        <is>
          <t>בשקלים חדשים</t>
        </is>
      </c>
      <c r="O157" s="406" t="n"/>
      <c r="P157" s="406" t="n"/>
      <c r="Q157" s="406" t="n"/>
      <c r="R157" s="406" t="n"/>
      <c r="S157" s="406" t="n"/>
    </row>
    <row r="161">
      <c r="M161" s="421" t="inlineStr">
        <is>
          <t xml:space="preserve">לשנה שהסתיימה  </t>
        </is>
      </c>
    </row>
    <row r="162">
      <c r="M162" s="422" t="inlineStr">
        <is>
          <t>ביום 31 בדצמבר</t>
        </is>
      </c>
    </row>
    <row r="163">
      <c r="K163" s="387" t="inlineStr">
        <is>
          <t>רשימה</t>
        </is>
      </c>
      <c r="L163" s="408" t="n"/>
      <c r="M163" s="133" t="n">
        <v>2024</v>
      </c>
      <c r="N163" s="133" t="n">
        <v>2023</v>
      </c>
    </row>
    <row r="164">
      <c r="N164" s="298" t="n"/>
    </row>
    <row r="165" ht="30.75" customHeight="1" s="282">
      <c r="A165" s="368" t="n">
        <v>45.13</v>
      </c>
      <c r="B165" s="419" t="inlineStr">
        <is>
          <t xml:space="preserve">הכנסות </t>
        </is>
      </c>
      <c r="L165" s="389" t="n"/>
      <c r="M165" s="417">
        <f>#REF!*-1</f>
        <v/>
      </c>
      <c r="N165" s="417" t="n">
        <v>2450387.17</v>
      </c>
    </row>
    <row r="166" ht="30.75" customHeight="1" s="282">
      <c r="B166" s="423" t="inlineStr">
        <is>
          <t>עלות בצוע העבודות</t>
        </is>
      </c>
      <c r="K166" s="414" t="inlineStr">
        <is>
          <t>[ א]</t>
        </is>
      </c>
      <c r="L166" s="389" t="n"/>
      <c r="M166" s="412">
        <f>M284</f>
        <v/>
      </c>
      <c r="N166" s="412">
        <f>N284</f>
        <v/>
      </c>
    </row>
    <row r="167" ht="30.75" customHeight="1" s="282">
      <c r="B167" s="419" t="inlineStr">
        <is>
          <t>רווח מבצוע עבודות</t>
        </is>
      </c>
      <c r="C167" s="419" t="n"/>
      <c r="D167" s="419" t="n"/>
      <c r="E167" s="419" t="n"/>
      <c r="K167" s="414" t="n"/>
      <c r="L167" s="389" t="n"/>
      <c r="M167" s="417">
        <f>M165-M166</f>
        <v/>
      </c>
      <c r="N167" s="417">
        <f>N165-N166</f>
        <v/>
      </c>
      <c r="P167" s="424">
        <f>M167/M165</f>
        <v/>
      </c>
      <c r="Q167" s="424">
        <f>N167/N165</f>
        <v/>
      </c>
    </row>
    <row r="168" ht="30.75" customHeight="1" s="282">
      <c r="B168" s="425" t="inlineStr">
        <is>
          <t>הוצאות  הנהלה וכלליות</t>
        </is>
      </c>
      <c r="K168" s="426" t="inlineStr">
        <is>
          <t>[ ב]</t>
        </is>
      </c>
      <c r="L168" s="415" t="n"/>
      <c r="M168" s="412">
        <f>M295</f>
        <v/>
      </c>
      <c r="N168" s="412">
        <f>N295</f>
        <v/>
      </c>
      <c r="P168" s="427" t="n"/>
      <c r="Q168" s="427" t="n"/>
    </row>
    <row r="169" ht="30.75" customHeight="1" s="282">
      <c r="B169" s="428" t="inlineStr">
        <is>
          <t xml:space="preserve">רווח  לפני הוצאות מימון </t>
        </is>
      </c>
      <c r="K169" s="418" t="n"/>
      <c r="L169" s="415" t="n"/>
      <c r="M169" s="417">
        <f>M165-M166-M168</f>
        <v/>
      </c>
      <c r="N169" s="417">
        <f>N165-N166-N168</f>
        <v/>
      </c>
    </row>
    <row r="170" ht="30.75" customHeight="1" s="282">
      <c r="A170" s="368" t="n">
        <v>79</v>
      </c>
      <c r="B170" s="411" t="inlineStr">
        <is>
          <t xml:space="preserve">הוצאות (הכנסות) מימון </t>
        </is>
      </c>
      <c r="K170" s="414" t="n"/>
      <c r="L170" s="415" t="n"/>
      <c r="M170" s="412">
        <f>#REF!</f>
        <v/>
      </c>
      <c r="N170" s="412" t="n">
        <v>2511.12</v>
      </c>
    </row>
    <row r="171" ht="30.75" customHeight="1" s="282">
      <c r="B171" s="388" t="inlineStr">
        <is>
          <t>רווח  לפני מסים על הכנסה</t>
        </is>
      </c>
      <c r="L171" s="389" t="n"/>
      <c r="M171" s="417">
        <f>M169-M170</f>
        <v/>
      </c>
      <c r="N171" s="417">
        <f>N169-N170</f>
        <v/>
      </c>
      <c r="P171" s="370" t="n">
        <v>138008.4500000001</v>
      </c>
      <c r="Q171" s="370" t="n">
        <v>77409.28999999996</v>
      </c>
    </row>
    <row r="172" ht="30.75" customHeight="1" s="282">
      <c r="B172" s="429" t="inlineStr">
        <is>
          <t>הפרשה למס</t>
        </is>
      </c>
      <c r="L172" s="389" t="n"/>
      <c r="M172" s="412">
        <f>P363</f>
        <v/>
      </c>
      <c r="N172" s="412" t="n">
        <v>229778.4824</v>
      </c>
      <c r="P172" s="370" t="n">
        <v>35765.61250000002</v>
      </c>
      <c r="Q172" s="370" t="n">
        <v>20513.46184999999</v>
      </c>
    </row>
    <row r="173" ht="25.5" customHeight="1" s="282">
      <c r="B173" s="419" t="inlineStr">
        <is>
          <t>רווח  נקי  השנה</t>
        </is>
      </c>
      <c r="K173" s="430" t="n"/>
      <c r="L173" s="431" t="n"/>
      <c r="M173" s="417">
        <f>M171-M172</f>
        <v/>
      </c>
      <c r="N173" s="417">
        <f>N171-N172</f>
        <v/>
      </c>
      <c r="P173" s="370" t="n">
        <v>102242.8375000001</v>
      </c>
      <c r="Q173" s="370" t="n">
        <v>56895.82814999997</v>
      </c>
    </row>
    <row r="174" ht="28.5" customHeight="1" s="282">
      <c r="B174" s="411" t="inlineStr">
        <is>
          <t>רווח  לתחילת שנה  שטרם יועד</t>
        </is>
      </c>
      <c r="L174" s="389" t="n"/>
      <c r="M174" s="412">
        <f>N176</f>
        <v/>
      </c>
      <c r="N174" s="412" t="n">
        <v>947533.8104000003</v>
      </c>
      <c r="P174" s="370" t="n">
        <v>800041.2100000001</v>
      </c>
      <c r="Q174" s="370" t="n">
        <v>743145.3818500001</v>
      </c>
      <c r="R174" s="370" t="n">
        <v>17052</v>
      </c>
    </row>
    <row r="175" ht="28.5" customHeight="1" s="282">
      <c r="B175" s="298" t="inlineStr">
        <is>
          <t>דיבידנד שחולק</t>
        </is>
      </c>
      <c r="L175" s="389" t="n"/>
      <c r="M175" s="412">
        <f>#REF!</f>
        <v/>
      </c>
      <c r="N175" s="412" t="n">
        <v>571428</v>
      </c>
    </row>
    <row r="176" ht="25.5" customHeight="1" s="282">
      <c r="B176" s="388" t="inlineStr">
        <is>
          <t>רווח מצטבר שטרם יועד</t>
        </is>
      </c>
      <c r="L176" s="389" t="n"/>
      <c r="M176" s="417">
        <f>M173+M174-M175</f>
        <v/>
      </c>
      <c r="N176" s="417">
        <f>N173+N174-N175</f>
        <v/>
      </c>
      <c r="P176" s="370" t="n">
        <v>902284.0475000001</v>
      </c>
      <c r="Q176" s="370" t="n">
        <v>800041.2100000001</v>
      </c>
      <c r="R176" s="370" t="n">
        <v>137380</v>
      </c>
    </row>
    <row r="177">
      <c r="L177" s="389" t="n"/>
    </row>
    <row r="178">
      <c r="L178" s="389" t="n"/>
    </row>
    <row r="179">
      <c r="L179" s="389" t="n"/>
    </row>
    <row r="180">
      <c r="L180" s="389" t="n"/>
    </row>
    <row r="181">
      <c r="L181" s="389" t="n"/>
    </row>
    <row r="182">
      <c r="L182" s="389" t="n"/>
    </row>
    <row r="183">
      <c r="L183" s="389" t="n"/>
    </row>
    <row r="184">
      <c r="L184" s="389" t="n"/>
    </row>
    <row r="185">
      <c r="L185" s="389" t="n"/>
    </row>
    <row r="186">
      <c r="L186" s="389" t="n"/>
    </row>
    <row r="187">
      <c r="L187" s="389" t="n"/>
    </row>
    <row r="188">
      <c r="L188" s="389" t="n"/>
    </row>
    <row r="189">
      <c r="L189" s="389" t="n"/>
    </row>
    <row r="190">
      <c r="L190" s="389" t="n"/>
    </row>
    <row r="191">
      <c r="L191" s="389" t="n"/>
    </row>
    <row r="192">
      <c r="L192" s="389" t="n"/>
    </row>
    <row r="193">
      <c r="L193" s="389" t="n"/>
    </row>
    <row r="194">
      <c r="L194" s="389" t="n"/>
    </row>
    <row r="195">
      <c r="L195" s="389" t="n"/>
    </row>
    <row r="197">
      <c r="C197" s="390" t="n"/>
    </row>
    <row r="199">
      <c r="B199" s="409" t="inlineStr">
        <is>
          <t>הבאורים לדוחות הכספיים מהווים חלק בלתי נפרד מהם.</t>
        </is>
      </c>
    </row>
    <row r="200" ht="21" customHeight="1" s="282">
      <c r="B200" s="399">
        <f>J4</f>
        <v/>
      </c>
      <c r="C200" s="400" t="n"/>
      <c r="D200" s="400" t="n"/>
      <c r="E200" s="400" t="n"/>
      <c r="F200" s="400" t="n"/>
      <c r="G200" s="400" t="n"/>
      <c r="H200" s="400" t="n"/>
      <c r="I200" s="400" t="n"/>
      <c r="J200" s="400" t="n"/>
      <c r="K200" s="394" t="n"/>
      <c r="L200" s="400" t="n"/>
      <c r="M200" s="400" t="n"/>
      <c r="N200" s="400" t="n"/>
    </row>
    <row r="201" ht="21" customHeight="1" s="282">
      <c r="B201" s="420" t="inlineStr">
        <is>
          <t>באורים לדוחות הכספיים</t>
        </is>
      </c>
      <c r="C201" s="404" t="n"/>
      <c r="D201" s="404" t="n"/>
      <c r="E201" s="404" t="n"/>
      <c r="F201" s="404" t="n"/>
      <c r="G201" s="404" t="n"/>
      <c r="H201" s="404" t="n"/>
      <c r="I201" s="404" t="n"/>
      <c r="J201" s="404" t="n"/>
      <c r="K201" s="405" t="n"/>
      <c r="L201" s="404" t="n"/>
      <c r="M201" s="404" t="n"/>
      <c r="N201" s="403" t="inlineStr">
        <is>
          <t>בשקלים חדשים</t>
        </is>
      </c>
    </row>
    <row r="202" ht="22.5" customHeight="1" s="282"/>
    <row r="203" ht="21" customHeight="1" s="282">
      <c r="B203" s="432" t="inlineStr">
        <is>
          <t>באור 1 - כללי</t>
        </is>
      </c>
    </row>
    <row r="205">
      <c r="B205" s="298" t="inlineStr">
        <is>
          <t>א.</t>
        </is>
      </c>
      <c r="C205" s="390" t="inlineStr">
        <is>
          <t xml:space="preserve">החברה התאגדה ביום 17 במאי 2006 והחלה את פעילותה בחודש מאי 2006. </t>
        </is>
      </c>
    </row>
    <row r="206">
      <c r="B206" s="298" t="inlineStr">
        <is>
          <t>ב.</t>
        </is>
      </c>
      <c r="C206" s="390" t="inlineStr">
        <is>
          <t>החברה עוסקת בעבודות בניה נקיון ואחזקה.</t>
        </is>
      </c>
    </row>
    <row r="207">
      <c r="B207" s="433" t="n"/>
      <c r="C207" s="390" t="n"/>
    </row>
    <row r="208" ht="21" customHeight="1" s="282">
      <c r="B208" s="432" t="inlineStr">
        <is>
          <t>באור 2 - עיקרי המדיניות החשבונאית</t>
        </is>
      </c>
    </row>
    <row r="210">
      <c r="B210" s="434" t="inlineStr">
        <is>
          <t>א.</t>
        </is>
      </c>
      <c r="C210" s="409" t="inlineStr">
        <is>
          <t>מזומנים ושווי מזומנים-</t>
        </is>
      </c>
    </row>
    <row r="211" ht="15.75" customHeight="1" s="282">
      <c r="C211" s="397" t="inlineStr">
        <is>
          <t xml:space="preserve">מזומנים ושווי מזומנים נחשבים על-ידי החברה כהשקעות שנזילותן גבוהה, הכוללת פקדונות בבנקים לזמן קצר, שהתקופה עד למועד פדיונם בעת ההשקעה בהם לא עלתה על 3 חודשים. </t>
        </is>
      </c>
    </row>
    <row r="212"/>
    <row r="213">
      <c r="D213" s="388" t="n"/>
    </row>
    <row r="214">
      <c r="B214" s="388" t="inlineStr">
        <is>
          <t>ב.</t>
        </is>
      </c>
      <c r="C214" s="435" t="inlineStr">
        <is>
          <t>מכשירים פיננסיים-</t>
        </is>
      </c>
      <c r="D214" s="35" t="n"/>
      <c r="E214" s="35" t="n"/>
      <c r="F214" s="35" t="n"/>
      <c r="G214" s="35" t="n"/>
      <c r="H214" s="35" t="n"/>
      <c r="I214" s="38" t="n"/>
      <c r="J214" s="38" t="n"/>
    </row>
    <row r="215">
      <c r="B215" s="390" t="n"/>
      <c r="C215" s="436" t="inlineStr">
        <is>
          <t>שווי נאות של מכשירים פיננסים-</t>
        </is>
      </c>
      <c r="D215" s="35" t="n"/>
      <c r="E215" s="35" t="n"/>
      <c r="F215" s="35" t="n"/>
      <c r="G215" s="35" t="n"/>
      <c r="H215" s="35" t="n"/>
      <c r="I215" s="38" t="n"/>
      <c r="J215" s="38" t="n"/>
    </row>
    <row r="216" ht="45.75" customHeight="1" s="282">
      <c r="C216" s="437" t="inlineStr">
        <is>
          <t xml:space="preserve">הסכום הפנקסני של מזומנים ושווי מזומנים, חייבים, נכסים שוטפים אחרים, מרבית ההתחייבויות לזמן ארוך, הזכאים והוצאות שנצברו תואם או קרוב לשווי הנאות שלהם. </t>
        </is>
      </c>
    </row>
    <row r="217">
      <c r="B217" s="388" t="inlineStr">
        <is>
          <t>ג.</t>
        </is>
      </c>
      <c r="C217" s="409" t="inlineStr">
        <is>
          <t>הרכוש הקבוע-</t>
        </is>
      </c>
    </row>
    <row r="218">
      <c r="C218" s="437" t="inlineStr">
        <is>
          <t xml:space="preserve">הרכוש הקבוע מוצג בדוחות הכספיים לפי עלות, בנכוי פחת שנצבר המחושב לפי שיטת "הקו הישר", בשיעורים שנתיים מקובלים המבוססים על אורך חיי הנכסים המשוער והזהים לשיעורים שנתבעו כהוצאה לצרכי מס הכנסה. </t>
        </is>
      </c>
    </row>
    <row r="219"/>
    <row r="220">
      <c r="D220" s="438" t="n"/>
      <c r="E220" s="438" t="n"/>
      <c r="F220" s="438" t="n"/>
      <c r="G220" s="438" t="n"/>
      <c r="H220" s="439" t="n"/>
      <c r="I220" s="438" t="n"/>
      <c r="J220" s="438" t="n"/>
    </row>
    <row r="221">
      <c r="B221" s="434" t="inlineStr">
        <is>
          <t>ד.</t>
        </is>
      </c>
      <c r="C221" s="409" t="inlineStr">
        <is>
          <t>שינויים בכח הקנייה הכללי של המטבע הישראלי-</t>
        </is>
      </c>
      <c r="D221" s="38" t="n"/>
      <c r="E221" s="38" t="n"/>
      <c r="F221" s="38" t="n"/>
      <c r="G221" s="38" t="n"/>
      <c r="H221" s="38" t="n"/>
      <c r="I221" s="38" t="n"/>
      <c r="J221" s="438" t="n"/>
    </row>
    <row r="222" ht="15.75" customHeight="1" s="282">
      <c r="B222" s="388" t="n"/>
      <c r="C222" s="437" t="inlineStr">
        <is>
          <t>הדוחות הכספיים ערוכים בערכים נומינליים על פי המוסכמה של הערכים ההיסטוריים ללא התחשבות בשינויים שחלו בכח הקניה של המטבע הישראלי, הדוחות אינם ערוכים בסכומים "מדווחים" כנדרש בתקני חשבונאות של המוסד הישראלי לתקינה חשבונאית.</t>
        </is>
      </c>
    </row>
    <row r="223" ht="34.5" customHeight="1" s="282">
      <c r="B223" s="388" t="n"/>
    </row>
    <row r="224">
      <c r="B224" s="388" t="n"/>
      <c r="O224" s="440" t="n"/>
    </row>
    <row r="225">
      <c r="B225" s="434" t="inlineStr">
        <is>
          <t>ה.</t>
        </is>
      </c>
      <c r="C225" s="409" t="inlineStr">
        <is>
          <t>שימוש באומדנים בעריכת הדוחות הכספיים-</t>
        </is>
      </c>
      <c r="D225" s="38" t="n"/>
      <c r="E225" s="38" t="n"/>
      <c r="F225" s="38" t="n"/>
      <c r="G225" s="38" t="n"/>
      <c r="H225" s="38" t="n"/>
      <c r="I225" s="38" t="n"/>
    </row>
    <row r="226">
      <c r="C226" s="437" t="inlineStr">
        <is>
          <t xml:space="preserve">בעריכת הדוחות הכספיים בהתאם לכללי חשבונאות מקובלים, נדרשת ההנהלה להשתמש באומדנים והערכות המשפיעות על הנתונים המדווחים של נכסים והתחייבויות ועל נתונים בדבר נכסים מותנים והתחייבויות תלויות שניתן להם גילוי בדוחות הכספים וכן על נתוני הכנסות והוצאות בתקופות הדווח. התוצאות בפועל עשויות להיות שונות מאומדנים אלה. </t>
        </is>
      </c>
    </row>
    <row r="227"/>
    <row r="228"/>
    <row r="229"/>
    <row r="230">
      <c r="C230" s="437" t="n"/>
      <c r="D230" s="437" t="n"/>
      <c r="E230" s="437" t="n"/>
      <c r="F230" s="437" t="n"/>
      <c r="G230" s="437" t="n"/>
      <c r="H230" s="437" t="n"/>
      <c r="I230" s="437" t="n"/>
      <c r="J230" s="437" t="n"/>
      <c r="K230" s="437" t="n"/>
      <c r="L230" s="437" t="n"/>
      <c r="M230" s="437" t="n"/>
      <c r="N230" s="437" t="n"/>
    </row>
    <row r="231">
      <c r="B231" s="434" t="inlineStr">
        <is>
          <t>ו.</t>
        </is>
      </c>
      <c r="C231" s="409" t="inlineStr">
        <is>
          <t>דוח על תזרימי המזומנים-</t>
        </is>
      </c>
      <c r="D231" s="38" t="n"/>
      <c r="E231" s="38" t="n"/>
      <c r="F231" s="38" t="n"/>
      <c r="G231" s="38" t="n"/>
      <c r="H231" s="38" t="n"/>
      <c r="I231" s="38" t="n"/>
      <c r="J231" s="441" t="n"/>
      <c r="K231" s="441" t="n"/>
      <c r="L231" s="441" t="n"/>
      <c r="M231" s="441" t="n"/>
      <c r="N231" s="441" t="n"/>
    </row>
    <row r="232" ht="15.75" customHeight="1" s="282">
      <c r="C232" s="442" t="inlineStr">
        <is>
          <t xml:space="preserve">החברה אינה כוללת בדוחות הכספיים דוחות על תזרימי המזומנים משום שלדעת הנהלת החברה אין בהצגתם   כדי להוסיף מידע משמעותי על המידע המצוי בדוחות הכספיים. </t>
        </is>
      </c>
    </row>
    <row r="233"/>
    <row r="234">
      <c r="C234" s="443" t="n"/>
      <c r="D234" s="443" t="n"/>
      <c r="E234" s="443" t="n"/>
      <c r="F234" s="443" t="n"/>
      <c r="G234" s="443" t="n"/>
      <c r="H234" s="443" t="n"/>
      <c r="I234" s="443" t="n"/>
      <c r="J234" s="443" t="n"/>
      <c r="K234" s="443" t="n"/>
      <c r="L234" s="443" t="n"/>
      <c r="M234" s="443" t="n"/>
      <c r="N234" s="443" t="n"/>
    </row>
    <row r="235">
      <c r="C235" s="443" t="n"/>
      <c r="D235" s="443" t="n"/>
      <c r="E235" s="443" t="n"/>
      <c r="F235" s="443" t="n"/>
      <c r="G235" s="443" t="n"/>
      <c r="H235" s="443" t="n"/>
      <c r="I235" s="443" t="n"/>
      <c r="J235" s="443" t="n"/>
      <c r="K235" s="443" t="n"/>
      <c r="L235" s="443" t="n"/>
      <c r="M235" s="443" t="n"/>
      <c r="N235" s="443" t="n"/>
    </row>
    <row r="236">
      <c r="C236" s="443" t="n"/>
      <c r="D236" s="443" t="n"/>
      <c r="E236" s="443" t="n"/>
      <c r="F236" s="443" t="n"/>
      <c r="G236" s="443" t="n"/>
      <c r="H236" s="443" t="n"/>
      <c r="I236" s="443" t="n"/>
      <c r="J236" s="443" t="n"/>
      <c r="K236" s="443" t="n"/>
      <c r="L236" s="443" t="n"/>
      <c r="M236" s="443" t="n"/>
      <c r="N236" s="443" t="n"/>
    </row>
    <row r="237" ht="21" customHeight="1" s="282">
      <c r="B237" s="399">
        <f>J4</f>
        <v/>
      </c>
      <c r="C237" s="400" t="n"/>
      <c r="D237" s="400" t="n"/>
      <c r="E237" s="400" t="n"/>
      <c r="F237" s="400" t="n"/>
      <c r="G237" s="400" t="n"/>
      <c r="H237" s="400" t="n"/>
      <c r="I237" s="400" t="n"/>
      <c r="J237" s="400" t="n"/>
      <c r="K237" s="394" t="n"/>
      <c r="L237" s="400" t="n"/>
      <c r="M237" s="400" t="n"/>
      <c r="N237" s="400" t="n"/>
    </row>
    <row r="238" ht="21" customHeight="1" s="282">
      <c r="B238" s="420" t="inlineStr">
        <is>
          <t>באורים לדוחות הכספיים</t>
        </is>
      </c>
      <c r="C238" s="404" t="n"/>
      <c r="D238" s="404" t="n"/>
      <c r="E238" s="404" t="n"/>
      <c r="F238" s="404" t="n"/>
      <c r="G238" s="404" t="n"/>
      <c r="H238" s="404" t="n"/>
      <c r="I238" s="404" t="n"/>
      <c r="J238" s="404" t="n"/>
      <c r="K238" s="405" t="n"/>
      <c r="L238" s="404" t="n"/>
      <c r="M238" s="404" t="n"/>
      <c r="N238" s="403" t="inlineStr">
        <is>
          <t>בשקלים חדשים</t>
        </is>
      </c>
    </row>
    <row r="239" ht="21" customHeight="1" s="282">
      <c r="B239" s="444" t="n"/>
      <c r="C239" s="400" t="n"/>
      <c r="D239" s="400" t="n"/>
      <c r="E239" s="400" t="n"/>
      <c r="F239" s="400" t="n"/>
      <c r="G239" s="400" t="n"/>
      <c r="H239" s="400" t="n"/>
      <c r="I239" s="400" t="n"/>
      <c r="J239" s="400" t="n"/>
      <c r="K239" s="394" t="n"/>
      <c r="L239" s="400" t="n"/>
      <c r="M239" s="400" t="n"/>
      <c r="N239" s="400" t="n"/>
    </row>
    <row r="240" ht="21" customHeight="1" s="282">
      <c r="B240" s="444" t="n"/>
      <c r="C240" s="400" t="n"/>
      <c r="D240" s="400" t="n"/>
      <c r="E240" s="400" t="n"/>
      <c r="F240" s="400" t="n"/>
      <c r="G240" s="400" t="n"/>
      <c r="H240" s="400" t="n"/>
      <c r="I240" s="400" t="n"/>
      <c r="J240" s="400" t="n"/>
      <c r="K240" s="394" t="n"/>
      <c r="L240" s="400" t="n"/>
      <c r="M240" s="400" t="n"/>
      <c r="N240" s="400" t="n"/>
    </row>
    <row r="241" ht="21" customHeight="1" s="282">
      <c r="B241" s="445" t="n"/>
      <c r="C241" s="400" t="n"/>
      <c r="D241" s="400" t="n"/>
      <c r="E241" s="400" t="n"/>
      <c r="F241" s="400" t="n"/>
      <c r="G241" s="400" t="n"/>
      <c r="H241" s="400" t="n"/>
      <c r="I241" s="400" t="n"/>
      <c r="J241" s="400" t="n"/>
      <c r="K241" s="394" t="n"/>
      <c r="L241" s="400" t="n"/>
      <c r="M241" s="446" t="inlineStr">
        <is>
          <t xml:space="preserve">ליום 31 בדצמבר </t>
        </is>
      </c>
      <c r="N241" s="447" t="n"/>
    </row>
    <row r="242" ht="21" customHeight="1" s="282">
      <c r="B242" s="444" t="n"/>
      <c r="C242" s="400" t="n"/>
      <c r="D242" s="400" t="n"/>
      <c r="E242" s="400" t="n"/>
      <c r="F242" s="400" t="n"/>
      <c r="G242" s="400" t="n"/>
      <c r="H242" s="400" t="n"/>
      <c r="I242" s="400" t="n"/>
      <c r="J242" s="400" t="n"/>
      <c r="K242" s="394" t="n"/>
      <c r="L242" s="400" t="n"/>
      <c r="M242" s="133" t="n">
        <v>2024</v>
      </c>
      <c r="N242" s="133" t="n">
        <v>2023</v>
      </c>
    </row>
    <row r="243" ht="21" customHeight="1" s="282">
      <c r="B243" s="444" t="n"/>
      <c r="C243" s="400" t="n"/>
      <c r="D243" s="400" t="n"/>
      <c r="E243" s="400" t="n"/>
      <c r="F243" s="400" t="n"/>
      <c r="G243" s="400" t="n"/>
      <c r="H243" s="400" t="n"/>
      <c r="I243" s="400" t="n"/>
      <c r="J243" s="400" t="n"/>
      <c r="K243" s="394" t="n"/>
      <c r="L243" s="400" t="n"/>
      <c r="M243" s="400" t="n"/>
      <c r="N243" s="448" t="n"/>
    </row>
    <row r="244" ht="21" customHeight="1" s="282">
      <c r="B244" s="449" t="inlineStr">
        <is>
          <t>באור 3 - חייבים ויתרות חובה</t>
        </is>
      </c>
      <c r="C244" s="392" t="n"/>
      <c r="D244" s="392" t="n"/>
      <c r="E244" s="392" t="n"/>
      <c r="F244" s="392" t="n"/>
      <c r="G244" s="392" t="n"/>
      <c r="H244" s="392" t="n"/>
    </row>
    <row r="245" ht="21" customHeight="1" s="282">
      <c r="B245" s="445" t="n"/>
      <c r="C245" s="298" t="n"/>
      <c r="D245" s="298" t="n"/>
      <c r="E245" s="298" t="n"/>
      <c r="F245" s="298" t="n"/>
      <c r="G245" s="298" t="n"/>
      <c r="H245" s="298" t="n"/>
    </row>
    <row r="246">
      <c r="B246" s="450" t="inlineStr">
        <is>
          <t xml:space="preserve">    לקוחות</t>
        </is>
      </c>
      <c r="C246" s="298" t="n"/>
      <c r="D246" s="298" t="n"/>
      <c r="E246" s="298" t="n"/>
      <c r="F246" s="298" t="n"/>
      <c r="G246" s="298" t="n"/>
      <c r="H246" s="298" t="n"/>
      <c r="M246" s="298">
        <f>#REF!</f>
        <v/>
      </c>
      <c r="N246" s="298" t="n">
        <v>240473</v>
      </c>
    </row>
    <row r="247">
      <c r="B247" s="429" t="inlineStr">
        <is>
          <t xml:space="preserve">    פקיד שומה</t>
        </is>
      </c>
      <c r="C247" s="429" t="n"/>
      <c r="E247" s="429" t="n"/>
      <c r="F247" s="429" t="n"/>
      <c r="G247" s="451" t="n"/>
      <c r="H247" s="451" t="n"/>
      <c r="I247" s="451" t="n"/>
      <c r="J247" s="452" t="n"/>
      <c r="K247" s="421" t="n"/>
      <c r="L247" s="421" t="n"/>
      <c r="M247" s="411" t="n">
        <v>0</v>
      </c>
      <c r="N247" s="411" t="n">
        <v>5325.727599999984</v>
      </c>
    </row>
    <row r="248" ht="17" customHeight="1" s="282" thickBot="1">
      <c r="B248" s="429" t="n"/>
      <c r="C248" s="429" t="n"/>
      <c r="E248" s="429" t="n"/>
      <c r="F248" s="429" t="n"/>
      <c r="G248" s="451" t="n"/>
      <c r="H248" s="451" t="n"/>
      <c r="I248" s="451" t="n"/>
      <c r="J248" s="452" t="n"/>
      <c r="K248" s="421" t="n"/>
      <c r="L248" s="421" t="n"/>
      <c r="M248" s="453">
        <f>SUM(M246:M247)</f>
        <v/>
      </c>
      <c r="N248" s="453">
        <f>SUM(N246:N247)</f>
        <v/>
      </c>
    </row>
    <row r="249">
      <c r="B249" s="429" t="n"/>
      <c r="C249" s="429" t="n"/>
      <c r="E249" s="429" t="n"/>
      <c r="F249" s="429" t="n"/>
      <c r="G249" s="451" t="n"/>
      <c r="H249" s="451" t="n"/>
      <c r="I249" s="451" t="n"/>
      <c r="J249" s="452" t="n"/>
      <c r="K249" s="421" t="n"/>
      <c r="L249" s="421" t="n"/>
      <c r="N249" s="434" t="n"/>
    </row>
    <row r="250" ht="21" customHeight="1" s="282">
      <c r="B250" s="449" t="inlineStr">
        <is>
          <t>באור 4 - זכאים ויתרות זכות</t>
        </is>
      </c>
      <c r="C250" s="392" t="n"/>
      <c r="D250" s="392" t="n"/>
      <c r="E250" s="392" t="n"/>
      <c r="F250" s="392" t="n"/>
      <c r="G250" s="392" t="n"/>
      <c r="H250" s="392" t="n"/>
      <c r="N250" s="454" t="n"/>
    </row>
    <row r="251" ht="19" customHeight="1" s="282">
      <c r="N251" s="455" t="n"/>
    </row>
    <row r="252">
      <c r="C252" s="298" t="inlineStr">
        <is>
          <t>ספקים ונותני שירותים</t>
        </is>
      </c>
      <c r="M252" s="298">
        <f>#REF!*-1</f>
        <v/>
      </c>
      <c r="N252" s="411" t="n">
        <v>2978</v>
      </c>
    </row>
    <row r="253">
      <c r="C253" s="298" t="inlineStr">
        <is>
          <t>הוצאות לשלם</t>
        </is>
      </c>
      <c r="M253" s="411">
        <f>#REF!*-1</f>
        <v/>
      </c>
      <c r="N253" s="411" t="n">
        <v>0</v>
      </c>
    </row>
    <row r="254">
      <c r="C254" s="298" t="inlineStr">
        <is>
          <t>בעל מניות</t>
        </is>
      </c>
      <c r="M254" s="298">
        <f>#REF!*-1</f>
        <v/>
      </c>
      <c r="N254" s="411" t="n">
        <v>10722.18</v>
      </c>
    </row>
    <row r="255">
      <c r="C255" s="298" t="inlineStr">
        <is>
          <t>פקיד שומה</t>
        </is>
      </c>
      <c r="M255" s="411">
        <f>M172-#REF!</f>
        <v/>
      </c>
      <c r="N255" s="411" t="n">
        <v>0</v>
      </c>
    </row>
    <row r="256">
      <c r="C256" s="298" t="inlineStr">
        <is>
          <t>עובדים ומוסדות שכר</t>
        </is>
      </c>
      <c r="M256" s="298">
        <f>#REF!*-1</f>
        <v/>
      </c>
      <c r="N256" s="411" t="n">
        <v>77884.56</v>
      </c>
    </row>
    <row r="257" ht="19" customHeight="1" s="282">
      <c r="C257" s="298" t="inlineStr">
        <is>
          <t>אגף המכס והבלו</t>
        </is>
      </c>
      <c r="M257" s="412">
        <f>#REF!*-1</f>
        <v/>
      </c>
      <c r="N257" s="412" t="n">
        <v>51687.37</v>
      </c>
    </row>
    <row r="258" ht="19" customHeight="1" s="282">
      <c r="M258" s="417">
        <f>SUM(M252:M257)</f>
        <v/>
      </c>
      <c r="N258" s="417">
        <f>SUM(N252:N257)</f>
        <v/>
      </c>
    </row>
    <row r="259" ht="19" customHeight="1" s="282">
      <c r="N259" s="417" t="n"/>
    </row>
    <row r="260" ht="21" customHeight="1" s="282">
      <c r="B260" s="449" t="inlineStr">
        <is>
          <t>באור 5 - מס הכנסה</t>
        </is>
      </c>
      <c r="C260" s="392" t="n"/>
      <c r="D260" s="392" t="n"/>
      <c r="E260" s="392" t="n"/>
      <c r="F260" s="392" t="n"/>
      <c r="G260" s="392" t="n"/>
      <c r="N260" s="417" t="n"/>
    </row>
    <row r="261" ht="19" customHeight="1" s="282">
      <c r="N261" s="417" t="n"/>
    </row>
    <row r="262" ht="15.75" customHeight="1" s="282">
      <c r="B262" s="298" t="inlineStr">
        <is>
          <t>א.</t>
        </is>
      </c>
      <c r="C262" s="442" t="inlineStr">
        <is>
          <t xml:space="preserve">שיעור המס שחל על הכנסתה החייבת של החברה בשנים המדווחות בדוחות אלה הוא 23%. </t>
        </is>
      </c>
    </row>
    <row r="263" ht="15.75" customHeight="1" s="282"/>
    <row r="264">
      <c r="B264" s="298" t="inlineStr">
        <is>
          <t>ב.</t>
        </is>
      </c>
      <c r="C264" s="298" t="inlineStr">
        <is>
          <t>החברה טרם נישומה מיום היווסדה.</t>
        </is>
      </c>
      <c r="K264" s="298" t="n"/>
    </row>
    <row r="265">
      <c r="B265" s="429" t="n"/>
      <c r="C265" s="429" t="n"/>
    </row>
    <row r="266" ht="21" customHeight="1" s="282">
      <c r="B266" s="432" t="inlineStr">
        <is>
          <t>באור 6 - הון המניות</t>
        </is>
      </c>
    </row>
    <row r="268">
      <c r="C268" s="298" t="inlineStr">
        <is>
          <t>39,000 מניות רגילות בנות 1 ש"ח ערך נקוב כל אחת, מהן הונפקו ונפרעו 100 מניות.</t>
        </is>
      </c>
    </row>
    <row r="269" ht="21" customHeight="1" s="282">
      <c r="B269" s="399">
        <f>J4</f>
        <v/>
      </c>
      <c r="C269" s="400" t="n"/>
      <c r="D269" s="400" t="n"/>
      <c r="E269" s="400" t="n"/>
      <c r="F269" s="400" t="n"/>
      <c r="G269" s="400" t="n"/>
      <c r="H269" s="400" t="n"/>
      <c r="I269" s="400" t="n"/>
      <c r="J269" s="400" t="n"/>
      <c r="K269" s="394" t="n"/>
      <c r="L269" s="400" t="n"/>
      <c r="M269" s="400" t="n"/>
      <c r="N269" s="400" t="n"/>
    </row>
    <row r="270" ht="21" customHeight="1" s="282">
      <c r="B270" s="420" t="inlineStr">
        <is>
          <t>באורים לדוחות הכספיים</t>
        </is>
      </c>
      <c r="C270" s="404" t="n"/>
      <c r="D270" s="404" t="n"/>
      <c r="E270" s="404" t="n"/>
      <c r="F270" s="404" t="n"/>
      <c r="G270" s="404" t="n"/>
      <c r="H270" s="404" t="n"/>
      <c r="I270" s="404" t="n"/>
      <c r="J270" s="404" t="n"/>
      <c r="K270" s="405" t="n"/>
      <c r="L270" s="404" t="n"/>
      <c r="M270" s="404" t="n"/>
      <c r="N270" s="403" t="inlineStr">
        <is>
          <t>בשקלים חדשים</t>
        </is>
      </c>
    </row>
    <row r="271" ht="19" customHeight="1" s="282">
      <c r="E271" s="34" t="n"/>
      <c r="F271" s="34" t="n"/>
      <c r="G271" s="34" t="n"/>
      <c r="H271" s="34" t="n"/>
      <c r="I271" s="34" t="n"/>
      <c r="N271" s="456" t="n"/>
    </row>
    <row r="272" ht="15.75" customHeight="1" s="282">
      <c r="N272" s="457" t="inlineStr">
        <is>
          <t xml:space="preserve">לשנה שהסתיימה ביום 31 בדצמבר </t>
        </is>
      </c>
    </row>
    <row r="273"/>
    <row r="274"/>
    <row r="275">
      <c r="M275" s="133" t="n">
        <v>2024</v>
      </c>
      <c r="N275" s="133" t="n">
        <v>2023</v>
      </c>
    </row>
    <row r="276">
      <c r="M276" s="235" t="n"/>
      <c r="N276" s="235" t="n"/>
    </row>
    <row r="277" ht="21" customHeight="1" s="282">
      <c r="B277" s="449" t="inlineStr">
        <is>
          <t>רשימה  א- עלות בצוע העבודות</t>
        </is>
      </c>
      <c r="C277" s="392" t="n"/>
      <c r="D277" s="392" t="n"/>
      <c r="E277" s="392" t="n"/>
      <c r="F277" s="392" t="n"/>
      <c r="G277" s="392" t="n"/>
      <c r="H277" s="392" t="n"/>
      <c r="I277" s="392" t="n"/>
      <c r="N277" s="458" t="n"/>
    </row>
    <row r="279">
      <c r="C279" s="298" t="inlineStr">
        <is>
          <t>מלאי פתיחה עבודות בבצוע</t>
        </is>
      </c>
      <c r="M279" s="298">
        <f>#REF!</f>
        <v/>
      </c>
      <c r="N279" s="298" t="n">
        <v>65797</v>
      </c>
    </row>
    <row r="280">
      <c r="C280" s="298" t="inlineStr">
        <is>
          <t>קניות וקבלני משנה</t>
        </is>
      </c>
      <c r="D280" s="298" t="n"/>
      <c r="E280" s="298" t="n"/>
      <c r="M280" s="298">
        <f>#REF!</f>
        <v/>
      </c>
      <c r="N280" s="298" t="n">
        <v>601720.89</v>
      </c>
    </row>
    <row r="281">
      <c r="C281" s="298" t="inlineStr">
        <is>
          <t>שכר עבודה ונלוות</t>
        </is>
      </c>
      <c r="M281" s="298">
        <f>#REF!</f>
        <v/>
      </c>
      <c r="N281" s="298" t="n">
        <v>747876.24</v>
      </c>
    </row>
    <row r="282">
      <c r="C282" s="298" t="inlineStr">
        <is>
          <t>אחזקת רכב</t>
        </is>
      </c>
      <c r="M282" s="298">
        <f>#REF!</f>
        <v/>
      </c>
      <c r="N282" s="298" t="n">
        <v>28589.59</v>
      </c>
    </row>
    <row r="283" ht="19" customHeight="1" s="282">
      <c r="C283" s="429" t="inlineStr">
        <is>
          <t>מלאי סגירה עבודות בבצוע</t>
        </is>
      </c>
      <c r="M283" s="412">
        <f>#REF!</f>
        <v/>
      </c>
      <c r="N283" s="412" t="n">
        <v>-37488</v>
      </c>
    </row>
    <row r="284" ht="19" customHeight="1" s="282">
      <c r="M284" s="417">
        <f>SUM(M279:M283)</f>
        <v/>
      </c>
      <c r="N284" s="417">
        <f>SUM(N279:N283)</f>
        <v/>
      </c>
    </row>
    <row r="285">
      <c r="N285" s="411" t="n"/>
    </row>
    <row r="286" ht="21.75" customHeight="1" s="282">
      <c r="B286" s="449" t="inlineStr">
        <is>
          <t>רשימה  ב- הוצאות  הנהלה וכלליות</t>
        </is>
      </c>
      <c r="C286" s="392" t="n"/>
      <c r="D286" s="392" t="n"/>
      <c r="E286" s="392" t="n"/>
      <c r="F286" s="392" t="n"/>
      <c r="G286" s="392" t="n"/>
      <c r="H286" s="392" t="n"/>
      <c r="I286" s="392" t="n"/>
      <c r="N286" s="458" t="n"/>
    </row>
    <row r="287">
      <c r="N287" s="458" t="n"/>
    </row>
    <row r="288">
      <c r="C288" s="298" t="inlineStr">
        <is>
          <t xml:space="preserve">אחזקה </t>
        </is>
      </c>
      <c r="M288" s="411">
        <f>#REF!</f>
        <v/>
      </c>
      <c r="N288" s="411" t="n">
        <v>555.5599999999999</v>
      </c>
    </row>
    <row r="289">
      <c r="C289" s="298" t="inlineStr">
        <is>
          <t>שירותים מקצועיים</t>
        </is>
      </c>
      <c r="M289" s="411">
        <f>#REF!</f>
        <v/>
      </c>
      <c r="N289" s="411" t="n">
        <v>0</v>
      </c>
    </row>
    <row r="290">
      <c r="C290" s="298" t="inlineStr">
        <is>
          <t xml:space="preserve">ביטוח </t>
        </is>
      </c>
      <c r="M290" s="298">
        <f>#REF!</f>
        <v/>
      </c>
      <c r="N290" s="411" t="n">
        <v>33831</v>
      </c>
    </row>
    <row r="291">
      <c r="C291" s="298" t="inlineStr">
        <is>
          <t>פחת</t>
        </is>
      </c>
      <c r="M291" s="411">
        <f>#REF!</f>
        <v/>
      </c>
      <c r="N291" s="411" t="n">
        <v>4780</v>
      </c>
    </row>
    <row r="292">
      <c r="C292" s="298" t="inlineStr">
        <is>
          <t>שירותי תקשורת</t>
        </is>
      </c>
      <c r="M292" s="298">
        <f>#REF!</f>
        <v/>
      </c>
      <c r="N292" s="411" t="n">
        <v>1432.81</v>
      </c>
    </row>
    <row r="293">
      <c r="C293" s="298" t="inlineStr">
        <is>
          <t>אגרות ומסים</t>
        </is>
      </c>
      <c r="M293" s="298">
        <f>#REF!</f>
        <v/>
      </c>
      <c r="N293" s="411" t="n">
        <v>1215</v>
      </c>
    </row>
    <row r="294" ht="19" customHeight="1" s="282">
      <c r="C294" s="298" t="inlineStr">
        <is>
          <t>משרדיות</t>
        </is>
      </c>
      <c r="M294" s="412">
        <f>#REF!</f>
        <v/>
      </c>
      <c r="N294" s="412" t="n">
        <v>123.08</v>
      </c>
    </row>
    <row r="295" ht="20.25" customHeight="1" s="282">
      <c r="M295" s="417">
        <f>SUM(M288:M294)</f>
        <v/>
      </c>
      <c r="N295" s="417">
        <f>SUM(N288:N294)</f>
        <v/>
      </c>
    </row>
    <row r="296" ht="15.75" customHeight="1" s="282">
      <c r="M296" s="417" t="n"/>
      <c r="N296" s="417" t="n"/>
    </row>
    <row r="297" ht="15.75" customHeight="1" s="282">
      <c r="M297" s="417" t="n"/>
      <c r="N297" s="417" t="n"/>
    </row>
    <row r="298" ht="15.75" customHeight="1" s="282">
      <c r="M298" s="417" t="n"/>
      <c r="N298" s="417" t="n"/>
    </row>
    <row r="299">
      <c r="K299" s="298" t="n"/>
    </row>
    <row r="300">
      <c r="A300" s="459" t="n"/>
      <c r="B300" s="298" t="n"/>
      <c r="C300" s="298" t="n"/>
      <c r="D300" s="298" t="n"/>
      <c r="E300" s="298" t="n"/>
      <c r="F300" s="298" t="n"/>
      <c r="G300" s="298" t="n"/>
      <c r="H300" s="298" t="n"/>
      <c r="I300" s="298" t="n"/>
      <c r="J300" s="298" t="n"/>
      <c r="K300" s="369" t="n"/>
      <c r="L300" s="298" t="n"/>
      <c r="M300" s="298" t="n"/>
      <c r="N300" s="298" t="n"/>
    </row>
    <row r="301">
      <c r="A301" s="459" t="n">
        <v>70.54000000000001</v>
      </c>
      <c r="B301" s="298" t="inlineStr">
        <is>
          <t xml:space="preserve">     אלחדד יגאל - רואה חשבון                                                                          (.ELHADAD  IGAL C.P.A (Isr</t>
        </is>
      </c>
      <c r="C301" s="298" t="n"/>
      <c r="D301" s="298" t="n"/>
      <c r="E301" s="298" t="n"/>
      <c r="F301" s="298" t="n"/>
      <c r="G301" s="298" t="n"/>
      <c r="H301" s="298" t="n"/>
      <c r="I301" s="298" t="n"/>
      <c r="J301" s="298" t="n"/>
      <c r="K301" s="369" t="n"/>
      <c r="L301" s="298" t="n"/>
      <c r="M301" s="298" t="n"/>
      <c r="N301" s="298" t="n"/>
    </row>
    <row r="302">
      <c r="A302" s="459" t="n">
        <v>70.58</v>
      </c>
      <c r="B302" s="298" t="n"/>
      <c r="C302" s="298" t="n"/>
      <c r="D302" s="298" t="n"/>
      <c r="E302" s="298" t="n"/>
      <c r="F302" s="298" t="n"/>
      <c r="G302" s="298" t="n"/>
      <c r="H302" s="298" t="n"/>
      <c r="I302" s="298" t="n"/>
      <c r="J302" s="298" t="n"/>
      <c r="K302" s="369" t="n"/>
      <c r="L302" s="298" t="n"/>
      <c r="M302" s="298" t="n"/>
      <c r="N302" s="298" t="n"/>
    </row>
    <row r="303">
      <c r="A303" s="459" t="n"/>
      <c r="B303" s="298" t="inlineStr">
        <is>
          <t xml:space="preserve">    אלחדד רונן - רואה חשבון                                                                        (.ELHADAD  RONEN C.P.A (Isr</t>
        </is>
      </c>
      <c r="C303" s="298" t="n"/>
      <c r="D303" s="298" t="n"/>
      <c r="E303" s="298" t="n"/>
      <c r="F303" s="298" t="n"/>
      <c r="G303" s="298" t="n"/>
      <c r="H303" s="298" t="n"/>
      <c r="I303" s="298" t="n"/>
      <c r="J303" s="298" t="n"/>
      <c r="K303" s="369" t="n"/>
      <c r="L303" s="298" t="n"/>
      <c r="M303" s="298" t="n"/>
      <c r="N303" s="298" t="n"/>
    </row>
    <row r="304">
      <c r="A304" s="459" t="n"/>
      <c r="B304" s="392" t="n"/>
      <c r="C304" s="392" t="n"/>
      <c r="D304" s="392" t="n"/>
      <c r="E304" s="392" t="n"/>
      <c r="F304" s="392" t="n"/>
      <c r="G304" s="392" t="n"/>
      <c r="H304" s="392" t="n"/>
      <c r="I304" s="392" t="n"/>
      <c r="J304" s="392" t="n"/>
      <c r="K304" s="393" t="n"/>
      <c r="L304" s="392" t="n"/>
      <c r="M304" s="392" t="n"/>
      <c r="N304" s="392" t="n"/>
    </row>
    <row r="305">
      <c r="A305" s="459" t="n"/>
      <c r="B305" s="298" t="n"/>
      <c r="C305" s="298" t="n"/>
      <c r="D305" s="298" t="n"/>
      <c r="E305" s="298" t="n"/>
      <c r="F305" s="298" t="n"/>
      <c r="G305" s="298" t="n"/>
      <c r="H305" s="298" t="n"/>
      <c r="I305" s="298" t="n"/>
      <c r="J305" s="298" t="n"/>
      <c r="K305" s="369" t="n"/>
      <c r="L305" s="298" t="n"/>
      <c r="M305" s="298" t="n"/>
      <c r="N305" s="460" t="n"/>
    </row>
    <row r="306" ht="21" customHeight="1" s="282">
      <c r="A306" s="459" t="n">
        <v>70.63</v>
      </c>
      <c r="G306" s="399" t="n"/>
      <c r="H306" s="461" t="n"/>
      <c r="I306" s="462" t="n"/>
      <c r="J306" s="463">
        <f>J4</f>
        <v/>
      </c>
      <c r="K306" s="462" t="n"/>
      <c r="L306" s="451" t="n"/>
      <c r="M306" s="451" t="n"/>
      <c r="N306" s="451" t="n"/>
    </row>
    <row r="307" ht="21" customHeight="1" s="282">
      <c r="A307" s="459" t="n">
        <v>70.65000000000001</v>
      </c>
      <c r="G307" s="464" t="n"/>
      <c r="H307" s="451" t="n"/>
      <c r="I307" s="451" t="n"/>
      <c r="J307" s="465" t="n"/>
      <c r="K307" s="451" t="n"/>
      <c r="L307" s="451" t="n"/>
      <c r="M307" s="451" t="n"/>
      <c r="N307" s="451" t="n"/>
    </row>
    <row r="308" ht="21" customHeight="1" s="282">
      <c r="A308" s="459" t="n"/>
      <c r="B308" s="451" t="n"/>
      <c r="C308" s="451" t="n"/>
      <c r="D308" s="451" t="n"/>
      <c r="E308" s="451" t="n"/>
      <c r="F308" s="451" t="n"/>
      <c r="G308" s="399" t="n"/>
      <c r="H308" s="466" t="n"/>
      <c r="I308" s="466" t="n"/>
      <c r="J308" s="467" t="inlineStr">
        <is>
          <t>אישור רואה חשבון</t>
        </is>
      </c>
      <c r="K308" s="369" t="n"/>
      <c r="L308" s="298" t="n"/>
      <c r="M308" s="298" t="n"/>
      <c r="N308" s="298" t="n"/>
    </row>
    <row r="309" ht="21" customHeight="1" s="282">
      <c r="A309" s="459" t="n"/>
      <c r="B309" s="451" t="n"/>
      <c r="C309" s="451" t="n"/>
      <c r="D309" s="451" t="n"/>
      <c r="E309" s="451" t="n"/>
      <c r="F309" s="451" t="n"/>
      <c r="G309" s="399" t="n"/>
      <c r="H309" s="298" t="n"/>
      <c r="I309" s="298" t="n"/>
      <c r="J309" s="298" t="n"/>
      <c r="K309" s="369" t="n"/>
      <c r="L309" s="298" t="n"/>
      <c r="M309" s="298" t="n"/>
      <c r="N309" s="298" t="n"/>
    </row>
    <row r="310">
      <c r="A310" s="459" t="n">
        <v>49.9</v>
      </c>
      <c r="B310" s="460" t="n"/>
      <c r="C310" s="460" t="n"/>
      <c r="D310" s="460" t="n"/>
      <c r="E310" s="468" t="n"/>
      <c r="F310" s="460" t="n"/>
      <c r="G310" s="460" t="n"/>
      <c r="H310" s="460" t="n"/>
      <c r="I310" s="115" t="n"/>
      <c r="J310" s="460" t="n"/>
      <c r="K310" s="468" t="n"/>
      <c r="L310" s="460" t="n"/>
      <c r="M310" s="298" t="n"/>
      <c r="N310" s="411" t="n"/>
    </row>
    <row r="311" ht="53.25" customHeight="1" s="282">
      <c r="A311" s="459" t="n"/>
      <c r="B311" s="397" t="inlineStr">
        <is>
          <t xml:space="preserve">בדקנו את דוח ההתאמה של  מירון ראובן עבודות ציבוריות בע"מ לשנת המס 2024 אליה צורפו הטפסים המסומנים בחותמתנו לשם זיהוי , המתאמת את ההכנסה של החברה לפי דוח רווח  והפסד לשנה שהסתיימה ביום 31  בדצמבר 2024 להכנסה שהוצהרה על ידה לצורכי מס הכנסה לשנה  האמורה.  </t>
        </is>
      </c>
    </row>
    <row r="312">
      <c r="A312" s="459" t="n"/>
      <c r="B312" s="298" t="n"/>
      <c r="C312" s="298" t="n"/>
      <c r="D312" s="298" t="n"/>
      <c r="E312" s="298" t="n"/>
      <c r="F312" s="298" t="n"/>
      <c r="G312" s="298" t="n"/>
      <c r="H312" s="298" t="n"/>
      <c r="I312" s="298" t="n"/>
      <c r="J312" s="298" t="n"/>
      <c r="K312" s="369" t="n"/>
      <c r="L312" s="298" t="n"/>
      <c r="M312" s="298" t="n"/>
      <c r="N312" s="460" t="n"/>
    </row>
    <row r="313" ht="56.25" customHeight="1" s="282">
      <c r="A313" s="459" t="n"/>
      <c r="B313" s="269" t="inlineStr">
        <is>
          <t xml:space="preserve">בדיקת ההוצאות המפורטות בסעיף 32(11) לפקודת מס הכנסה, בתקנות בדבר ניכוי הוצאות מסוימות ובתקנות בדבר ניכוי הוצאות רכב, החישובים הדרושים לפי סעיף 3(י) לפקודת מס הכנסה והתקיימות התנאים המפורטים בסעיף 32 א. לפקודה, נעשתה בהיקף שסוכם בין נציבות מס הכנסה לבין לשכת רואי חשבון בישראל על כל המשתמע מכך. </t>
        </is>
      </c>
    </row>
    <row r="314" ht="38.25" customHeight="1" s="282">
      <c r="A314" s="459" t="n">
        <v>29.3</v>
      </c>
      <c r="B314" s="269" t="inlineStr">
        <is>
          <t xml:space="preserve"> לדעתנו,בכפיפות לאמור בפיסקה הקודמת, ההתאמה הנ"ל נערכה בהתאם להוראות לפקודת מס הכנסה וחוק מס הכנסה (תיאומים בשל אינפלציה) התשמ"ה - 1985.  </t>
        </is>
      </c>
    </row>
    <row r="315">
      <c r="A315" s="459" t="n">
        <v>29.31</v>
      </c>
      <c r="B315" s="298" t="n"/>
      <c r="C315" s="298" t="n"/>
      <c r="D315" s="298" t="n"/>
      <c r="E315" s="298" t="n"/>
      <c r="F315" s="298" t="n"/>
      <c r="G315" s="298" t="n"/>
      <c r="H315" s="298" t="n"/>
      <c r="I315" s="298" t="n"/>
      <c r="J315" s="298" t="n"/>
      <c r="K315" s="369" t="n"/>
      <c r="L315" s="298" t="n"/>
      <c r="M315" s="298" t="n"/>
      <c r="N315" s="411" t="n"/>
    </row>
    <row r="316">
      <c r="A316" s="459" t="n"/>
      <c r="B316" s="298" t="n"/>
      <c r="C316" s="298" t="n"/>
      <c r="D316" s="298" t="n"/>
      <c r="E316" s="298" t="n"/>
      <c r="F316" s="298" t="n"/>
      <c r="G316" s="298" t="n"/>
      <c r="H316" s="298" t="n"/>
      <c r="I316" s="298" t="n"/>
      <c r="J316" s="298" t="n"/>
      <c r="K316" s="369" t="n"/>
      <c r="L316" s="298" t="n"/>
      <c r="M316" s="298" t="n"/>
      <c r="N316" s="460" t="n"/>
    </row>
    <row r="317">
      <c r="A317" s="459" t="n"/>
    </row>
    <row r="318">
      <c r="A318" s="459" t="n"/>
      <c r="B318" s="298" t="n"/>
      <c r="C318" s="298" t="n"/>
      <c r="D318" s="298" t="n"/>
      <c r="E318" s="298" t="n"/>
      <c r="F318" s="298" t="n"/>
      <c r="G318" s="298" t="n"/>
      <c r="H318" s="298" t="n"/>
      <c r="I318" s="298" t="n"/>
      <c r="J318" s="298" t="n"/>
      <c r="K318" s="369" t="n"/>
      <c r="L318" s="298" t="n"/>
      <c r="M318" s="298" t="n"/>
      <c r="N318" s="411" t="n"/>
    </row>
    <row r="319">
      <c r="A319" s="459" t="n"/>
      <c r="B319" s="298" t="n"/>
      <c r="C319" s="298" t="n"/>
      <c r="D319" s="298" t="n"/>
      <c r="E319" s="298" t="n"/>
      <c r="F319" s="298" t="n"/>
      <c r="G319" s="298" t="n"/>
      <c r="H319" s="298" t="n"/>
      <c r="I319" s="298" t="n"/>
      <c r="J319" s="298" t="n"/>
      <c r="K319" s="369" t="n"/>
      <c r="L319" s="298" t="n"/>
      <c r="M319" s="298" t="n"/>
      <c r="N319" s="411" t="n"/>
    </row>
    <row r="320">
      <c r="A320" s="459" t="n">
        <v>29.41</v>
      </c>
      <c r="B320" s="298" t="inlineStr">
        <is>
          <t xml:space="preserve">                                                                                                                         אלחדד יגאל ורונן רואי חשבון</t>
        </is>
      </c>
    </row>
    <row r="321">
      <c r="A321" s="459" t="n"/>
      <c r="B321" s="298" t="n"/>
      <c r="C321" s="298" t="n"/>
      <c r="D321" s="298" t="n"/>
      <c r="E321" s="298" t="n"/>
      <c r="F321" s="298" t="n"/>
      <c r="G321" s="298" t="n"/>
      <c r="H321" s="298" t="n"/>
      <c r="I321" s="298" t="n"/>
      <c r="J321" s="298" t="n"/>
      <c r="K321" s="369" t="n"/>
      <c r="L321" s="298" t="n"/>
      <c r="M321" s="298" t="n"/>
      <c r="N321" s="460" t="n"/>
    </row>
    <row r="322">
      <c r="A322" s="459" t="n"/>
      <c r="B322" s="298">
        <f>B3</f>
        <v/>
      </c>
      <c r="C322" s="298" t="n"/>
      <c r="D322" s="298" t="n"/>
      <c r="E322" s="298" t="n"/>
      <c r="F322" s="298" t="n"/>
      <c r="G322" s="298" t="n"/>
      <c r="H322" s="298" t="n"/>
      <c r="I322" s="298" t="n"/>
      <c r="J322" s="298" t="n"/>
      <c r="K322" s="369" t="n"/>
      <c r="L322" s="298" t="n"/>
      <c r="M322" s="298" t="n"/>
      <c r="N322" s="298" t="n"/>
    </row>
    <row r="323">
      <c r="A323" s="459" t="n"/>
      <c r="B323" s="429">
        <f>B4</f>
        <v/>
      </c>
      <c r="C323" s="298" t="n"/>
      <c r="D323" s="298" t="n"/>
      <c r="E323" s="298" t="n"/>
      <c r="F323" s="298" t="n"/>
      <c r="G323" s="298" t="n"/>
      <c r="H323" s="298" t="n"/>
      <c r="I323" s="298" t="n"/>
      <c r="J323" s="298" t="n"/>
      <c r="K323" s="369" t="n"/>
      <c r="L323" s="298" t="n"/>
      <c r="M323" s="298" t="n"/>
      <c r="N323" s="298" t="n"/>
    </row>
    <row r="324">
      <c r="A324" s="459" t="n"/>
      <c r="B324" s="298" t="n"/>
      <c r="C324" s="298" t="n"/>
      <c r="D324" s="298" t="n"/>
      <c r="E324" s="298" t="n"/>
      <c r="F324" s="298" t="n"/>
      <c r="G324" s="298" t="n"/>
      <c r="H324" s="298" t="n"/>
      <c r="I324" s="298" t="n"/>
      <c r="J324" s="298" t="n"/>
      <c r="K324" s="369" t="n"/>
      <c r="L324" s="298" t="n"/>
      <c r="M324" s="298" t="n"/>
      <c r="N324" s="411" t="n"/>
    </row>
    <row r="325">
      <c r="A325" s="459" t="n">
        <v>80</v>
      </c>
      <c r="B325" s="298" t="n"/>
      <c r="C325" s="298" t="n"/>
      <c r="D325" s="298" t="n"/>
      <c r="E325" s="298" t="n"/>
      <c r="F325" s="298" t="n"/>
      <c r="G325" s="298" t="n"/>
      <c r="H325" s="298" t="n"/>
      <c r="I325" s="298" t="n"/>
      <c r="J325" s="298" t="n"/>
      <c r="K325" s="369" t="n"/>
      <c r="L325" s="298" t="n"/>
      <c r="M325" s="298" t="n"/>
      <c r="N325" s="411" t="n"/>
    </row>
    <row r="326">
      <c r="A326" s="459" t="n">
        <v>80.09999999999999</v>
      </c>
      <c r="B326" s="298" t="n"/>
      <c r="C326" s="298" t="n"/>
      <c r="D326" s="298" t="n"/>
      <c r="E326" s="298" t="n"/>
      <c r="F326" s="298" t="n"/>
      <c r="G326" s="298" t="n"/>
      <c r="H326" s="298" t="n"/>
      <c r="I326" s="298" t="n"/>
      <c r="J326" s="298" t="n"/>
      <c r="K326" s="369" t="n"/>
      <c r="L326" s="298" t="n"/>
      <c r="M326" s="298" t="n"/>
      <c r="N326" s="411" t="n"/>
    </row>
    <row r="327">
      <c r="A327" s="459" t="n">
        <v>80.13</v>
      </c>
      <c r="B327" s="298" t="n"/>
      <c r="C327" s="298" t="n"/>
      <c r="D327" s="298" t="n"/>
      <c r="E327" s="298" t="n"/>
      <c r="F327" s="298" t="n"/>
      <c r="G327" s="298" t="n"/>
      <c r="H327" s="298" t="n"/>
      <c r="I327" s="298" t="n"/>
      <c r="J327" s="298" t="n"/>
      <c r="K327" s="369" t="n"/>
      <c r="L327" s="298" t="n"/>
      <c r="M327" s="298" t="n"/>
      <c r="N327" s="411" t="n"/>
    </row>
    <row r="328">
      <c r="A328" s="459" t="n"/>
      <c r="B328" s="298" t="n"/>
      <c r="C328" s="298" t="n"/>
      <c r="D328" s="298" t="n"/>
      <c r="E328" s="298" t="n"/>
      <c r="F328" s="298" t="n"/>
      <c r="G328" s="298" t="n"/>
      <c r="H328" s="298" t="n"/>
      <c r="I328" s="298" t="n"/>
      <c r="J328" s="298" t="n"/>
      <c r="K328" s="369" t="n"/>
      <c r="L328" s="298" t="n"/>
      <c r="M328" s="298" t="n"/>
      <c r="N328" s="411" t="n"/>
    </row>
    <row r="329">
      <c r="A329" s="459" t="n"/>
      <c r="B329" s="298" t="n"/>
      <c r="C329" s="298" t="n"/>
      <c r="D329" s="298" t="n"/>
      <c r="E329" s="298" t="n"/>
      <c r="F329" s="298" t="n"/>
      <c r="G329" s="298" t="n"/>
      <c r="H329" s="298" t="n"/>
      <c r="I329" s="298" t="n"/>
      <c r="J329" s="298" t="n"/>
      <c r="K329" s="369" t="n"/>
      <c r="L329" s="298" t="n"/>
      <c r="M329" s="298" t="n"/>
      <c r="N329" s="411" t="n"/>
    </row>
    <row r="330">
      <c r="A330" s="459" t="n"/>
      <c r="B330" s="298" t="n"/>
      <c r="C330" s="298" t="n"/>
      <c r="D330" s="298" t="n"/>
      <c r="E330" s="298" t="n"/>
      <c r="F330" s="298" t="n"/>
      <c r="G330" s="298" t="n"/>
      <c r="H330" s="298" t="n"/>
      <c r="I330" s="298" t="n"/>
      <c r="J330" s="298" t="n"/>
      <c r="K330" s="369" t="n"/>
      <c r="L330" s="298" t="n"/>
      <c r="M330" s="298" t="n"/>
      <c r="N330" s="411" t="n"/>
    </row>
    <row r="331">
      <c r="A331" s="459" t="n">
        <v>49.13</v>
      </c>
      <c r="B331" s="298" t="n"/>
      <c r="C331" s="298" t="n"/>
      <c r="D331" s="298" t="n"/>
      <c r="E331" s="298" t="n"/>
      <c r="F331" s="298" t="n"/>
      <c r="G331" s="298" t="n"/>
      <c r="H331" s="298" t="n"/>
      <c r="I331" s="298" t="n"/>
      <c r="J331" s="298" t="n"/>
      <c r="K331" s="369" t="n"/>
      <c r="L331" s="298" t="n"/>
      <c r="M331" s="298" t="n"/>
      <c r="N331" s="411" t="n"/>
    </row>
    <row r="332">
      <c r="A332" s="459" t="n">
        <v>49.14</v>
      </c>
      <c r="B332" s="298" t="n"/>
      <c r="C332" s="298" t="n"/>
      <c r="D332" s="298" t="n"/>
      <c r="E332" s="298" t="n"/>
      <c r="F332" s="298" t="n"/>
      <c r="G332" s="298" t="n"/>
      <c r="H332" s="298" t="n"/>
      <c r="I332" s="298" t="n"/>
      <c r="J332" s="298" t="n"/>
      <c r="K332" s="369" t="n"/>
      <c r="L332" s="298" t="n"/>
      <c r="M332" s="298" t="n"/>
      <c r="N332" s="411" t="n"/>
    </row>
    <row r="333">
      <c r="A333" s="459" t="n"/>
      <c r="B333" s="298" t="n"/>
      <c r="C333" s="298" t="n"/>
      <c r="D333" s="298" t="n"/>
      <c r="E333" s="298" t="n"/>
      <c r="F333" s="298" t="n"/>
      <c r="G333" s="298" t="n"/>
      <c r="H333" s="298" t="n"/>
      <c r="I333" s="298" t="n"/>
      <c r="J333" s="298" t="n"/>
      <c r="K333" s="369" t="n"/>
      <c r="L333" s="298" t="n"/>
      <c r="M333" s="298" t="n"/>
      <c r="N333" s="460" t="n"/>
    </row>
    <row r="334">
      <c r="A334" s="459" t="n"/>
      <c r="B334" s="298" t="n"/>
      <c r="C334" s="298" t="n"/>
      <c r="D334" s="298" t="n"/>
      <c r="E334" s="298" t="n"/>
      <c r="F334" s="298" t="n"/>
      <c r="G334" s="298" t="n"/>
      <c r="H334" s="298" t="n"/>
      <c r="I334" s="298" t="n"/>
      <c r="J334" s="298" t="n"/>
      <c r="K334" s="369" t="n"/>
      <c r="L334" s="298" t="n"/>
      <c r="M334" s="298" t="n"/>
      <c r="N334" s="298" t="n"/>
    </row>
    <row r="335">
      <c r="A335" s="459" t="n"/>
      <c r="B335" s="298" t="n"/>
      <c r="C335" s="298" t="n"/>
      <c r="D335" s="298" t="n"/>
      <c r="E335" s="298" t="n"/>
      <c r="F335" s="298" t="n"/>
      <c r="G335" s="298" t="n"/>
      <c r="H335" s="298" t="n"/>
      <c r="I335" s="298" t="n"/>
      <c r="J335" s="298" t="n"/>
      <c r="K335" s="369" t="n"/>
      <c r="L335" s="298" t="n"/>
      <c r="M335" s="298" t="n"/>
      <c r="N335" s="298" t="n"/>
    </row>
    <row r="336">
      <c r="A336" s="459" t="n">
        <v>70.19</v>
      </c>
      <c r="B336" s="451" t="n"/>
      <c r="C336" s="298" t="n"/>
      <c r="D336" s="298" t="n"/>
      <c r="E336" s="298" t="n"/>
      <c r="F336" s="298" t="n"/>
      <c r="G336" s="298" t="n"/>
      <c r="H336" s="298" t="n"/>
      <c r="I336" s="298" t="n"/>
      <c r="J336" s="298" t="n"/>
      <c r="K336" s="369" t="n"/>
      <c r="L336" s="298" t="n"/>
      <c r="M336" s="298" t="n"/>
      <c r="N336" s="298" t="n"/>
    </row>
    <row r="337">
      <c r="A337" s="459" t="n">
        <v>70.23999999999999</v>
      </c>
      <c r="B337" s="298" t="n"/>
      <c r="C337" s="298" t="n"/>
      <c r="D337" s="298" t="n"/>
      <c r="E337" s="298" t="n"/>
      <c r="F337" s="298" t="n"/>
      <c r="G337" s="298" t="n"/>
      <c r="H337" s="298" t="n"/>
      <c r="I337" s="298" t="n"/>
      <c r="J337" s="298" t="n"/>
      <c r="K337" s="369" t="n"/>
      <c r="L337" s="298" t="n"/>
      <c r="M337" s="298" t="n"/>
      <c r="N337" s="411" t="n"/>
    </row>
    <row r="338">
      <c r="A338" s="459" t="n"/>
      <c r="B338" s="298" t="n"/>
      <c r="C338" s="298" t="n"/>
      <c r="D338" s="298" t="n"/>
      <c r="E338" s="298" t="n"/>
      <c r="F338" s="298" t="n"/>
      <c r="G338" s="298" t="n"/>
      <c r="H338" s="298" t="n"/>
      <c r="I338" s="298" t="n"/>
      <c r="J338" s="298" t="n"/>
      <c r="K338" s="369" t="n"/>
      <c r="L338" s="298" t="n"/>
      <c r="M338" s="298" t="n"/>
      <c r="N338" s="411" t="n"/>
    </row>
    <row r="339">
      <c r="A339" s="459" t="n"/>
      <c r="B339" s="392" t="n"/>
      <c r="C339" s="392" t="n"/>
      <c r="D339" s="392" t="n"/>
      <c r="E339" s="392" t="n"/>
      <c r="F339" s="392" t="n"/>
      <c r="G339" s="392" t="n"/>
      <c r="H339" s="392" t="n"/>
      <c r="I339" s="392" t="n"/>
      <c r="J339" s="392" t="n"/>
      <c r="K339" s="393" t="n"/>
      <c r="L339" s="392" t="n"/>
      <c r="M339" s="392" t="n"/>
      <c r="N339" s="392" t="n"/>
    </row>
    <row r="340">
      <c r="A340" s="459" t="n"/>
      <c r="B340" s="298" t="inlineStr">
        <is>
          <t xml:space="preserve">                                      "בית דניאל "רוטשילד 15 חדרה  38205  טלפון 04-6326960  פקס 04-6228126  Email-elhadad@elhadad.co.il</t>
        </is>
      </c>
    </row>
    <row r="341" ht="21" customHeight="1" s="282">
      <c r="A341" s="459" t="n">
        <v>79</v>
      </c>
      <c r="B341" s="399">
        <f>J4</f>
        <v/>
      </c>
      <c r="C341" s="400" t="n"/>
      <c r="D341" s="400" t="n"/>
      <c r="E341" s="400" t="n"/>
      <c r="F341" s="400" t="n"/>
      <c r="G341" s="400" t="n"/>
      <c r="H341" s="400" t="n"/>
      <c r="I341" s="400" t="n"/>
      <c r="J341" s="400" t="n"/>
      <c r="K341" s="394" t="n"/>
      <c r="L341" s="400" t="n"/>
      <c r="M341" s="400" t="n"/>
      <c r="N341" s="400" t="n"/>
    </row>
    <row r="342" ht="21" customHeight="1" s="282">
      <c r="A342" s="459" t="n">
        <v>79.03</v>
      </c>
      <c r="B342" s="444" t="inlineStr">
        <is>
          <t xml:space="preserve">דו"ח התאמת ההכנסה החייבת במס </t>
        </is>
      </c>
      <c r="C342" s="400" t="n"/>
      <c r="D342" s="400" t="n"/>
      <c r="E342" s="400" t="n"/>
      <c r="F342" s="400" t="n"/>
      <c r="G342" s="400" t="n"/>
      <c r="H342" s="400" t="n"/>
      <c r="I342" s="400" t="n"/>
      <c r="J342" s="400" t="n"/>
      <c r="K342" s="394" t="n"/>
      <c r="L342" s="400" t="n"/>
      <c r="M342" s="400" t="n"/>
      <c r="N342" s="399" t="n"/>
    </row>
    <row r="343" ht="21" customHeight="1" s="282">
      <c r="A343" s="459" t="n"/>
      <c r="B343" s="420" t="inlineStr">
        <is>
          <t xml:space="preserve">לשנת המס 2024 </t>
        </is>
      </c>
      <c r="C343" s="404" t="n"/>
      <c r="D343" s="404" t="n"/>
      <c r="E343" s="404" t="n"/>
      <c r="F343" s="404" t="n"/>
      <c r="G343" s="404" t="n"/>
      <c r="H343" s="404" t="n"/>
      <c r="I343" s="404" t="n"/>
      <c r="J343" s="404" t="n"/>
      <c r="K343" s="405" t="n"/>
      <c r="L343" s="404" t="n"/>
      <c r="M343" s="404" t="n"/>
      <c r="N343" s="403" t="inlineStr">
        <is>
          <t>בשקלים חדשים</t>
        </is>
      </c>
    </row>
    <row r="344">
      <c r="K344" s="298" t="n"/>
    </row>
    <row r="345">
      <c r="A345" s="368" t="n">
        <v>49.53</v>
      </c>
      <c r="K345" s="298" t="n"/>
    </row>
    <row r="346">
      <c r="A346" s="368" t="n">
        <v>49.59</v>
      </c>
      <c r="K346" s="298" t="n"/>
    </row>
    <row r="347" ht="19" customHeight="1" s="282">
      <c r="A347" s="459" t="n"/>
      <c r="B347" s="434" t="inlineStr">
        <is>
          <t>רווח  לפי דוח רווח והפסד</t>
        </is>
      </c>
      <c r="K347" s="298" t="n"/>
      <c r="N347" s="412">
        <f>M171</f>
        <v/>
      </c>
    </row>
    <row r="348" ht="19" customHeight="1" s="282">
      <c r="A348" s="459" t="n"/>
      <c r="B348" s="434" t="n"/>
      <c r="K348" s="298" t="n"/>
      <c r="N348" s="412" t="n"/>
    </row>
    <row r="349" ht="19" customHeight="1" s="282">
      <c r="A349" s="459" t="n"/>
      <c r="B349" s="434" t="n"/>
      <c r="C349" s="298" t="inlineStr">
        <is>
          <t> </t>
        </is>
      </c>
      <c r="K349" s="298" t="n"/>
      <c r="N349" s="412" t="n">
        <v>0</v>
      </c>
    </row>
    <row r="350" ht="19" customHeight="1" s="282">
      <c r="A350" s="459" t="n"/>
      <c r="B350" s="434" t="n"/>
      <c r="K350" s="298" t="n"/>
      <c r="N350" s="412">
        <f>SUM(N349)</f>
        <v/>
      </c>
    </row>
    <row r="351" ht="19" customHeight="1" s="282">
      <c r="A351" s="459" t="n"/>
      <c r="B351" s="434" t="n"/>
      <c r="K351" s="298" t="n"/>
      <c r="N351" s="412" t="n"/>
    </row>
    <row r="352">
      <c r="A352" s="459" t="n"/>
      <c r="B352" s="390" t="n"/>
      <c r="K352" s="298" t="n"/>
    </row>
    <row r="353" ht="19" customHeight="1" s="282">
      <c r="A353" s="459" t="n"/>
      <c r="B353" s="469" t="inlineStr">
        <is>
          <t>רווח ( הפסד) לפני יישום הוראות ממשיכות לחוק התאומים</t>
        </is>
      </c>
      <c r="C353" s="395" t="n"/>
      <c r="D353" s="395" t="n"/>
      <c r="E353" s="395" t="n"/>
      <c r="F353" s="395" t="n"/>
      <c r="G353" s="395" t="n"/>
      <c r="H353" s="395" t="n"/>
      <c r="I353" s="395" t="n"/>
      <c r="J353" s="395" t="n"/>
      <c r="K353" s="395" t="n"/>
      <c r="M353" s="395" t="n"/>
      <c r="N353" s="412">
        <f>N347+N350</f>
        <v/>
      </c>
    </row>
    <row r="354">
      <c r="A354" s="459" t="n"/>
      <c r="B354" s="469" t="n"/>
      <c r="C354" s="395" t="n"/>
      <c r="D354" s="395" t="n"/>
      <c r="E354" s="395" t="n"/>
      <c r="F354" s="395" t="n"/>
      <c r="G354" s="395" t="n"/>
      <c r="H354" s="395" t="n"/>
      <c r="I354" s="395" t="n"/>
      <c r="J354" s="395" t="n"/>
      <c r="K354" s="395" t="n"/>
      <c r="M354" s="395" t="n"/>
      <c r="N354" s="395" t="n"/>
    </row>
    <row r="355">
      <c r="A355" s="459" t="n"/>
      <c r="B355" s="470" t="inlineStr">
        <is>
          <t>השלכות  הוראות ממשיכות לחוק מ"ה [תיאומים בשל אינפלציה ] התשמ"ה -1985</t>
        </is>
      </c>
      <c r="C355" s="395" t="n"/>
      <c r="D355" s="395" t="n"/>
      <c r="E355" s="395" t="n"/>
      <c r="F355" s="395" t="n"/>
      <c r="G355" s="395" t="n"/>
      <c r="H355" s="395" t="n"/>
      <c r="I355" s="395" t="n"/>
      <c r="J355" s="395" t="n"/>
      <c r="K355" s="395" t="n"/>
      <c r="M355" s="395" t="n"/>
      <c r="N355" s="395" t="n"/>
    </row>
    <row r="356">
      <c r="A356" s="459" t="n"/>
      <c r="B356" s="390" t="n"/>
      <c r="C356" s="470" t="n"/>
      <c r="D356" s="395" t="n"/>
      <c r="E356" s="395" t="n"/>
      <c r="F356" s="395" t="n"/>
      <c r="G356" s="395" t="n"/>
      <c r="H356" s="395" t="n"/>
      <c r="I356" s="395" t="n"/>
      <c r="J356" s="395" t="n"/>
      <c r="K356" s="395" t="n"/>
      <c r="L356" s="395" t="n"/>
      <c r="M356" s="395" t="n"/>
      <c r="N356" s="395" t="n"/>
    </row>
    <row r="357">
      <c r="A357" s="459" t="n"/>
      <c r="D357" s="298" t="inlineStr">
        <is>
          <t>ניכוי בשל פחת</t>
        </is>
      </c>
      <c r="K357" s="298" t="n"/>
      <c r="N357" s="411" t="n">
        <v>0</v>
      </c>
    </row>
    <row r="358" ht="15.75" customHeight="1" s="282">
      <c r="A358" s="459" t="n"/>
      <c r="D358" s="298" t="inlineStr">
        <is>
          <t>קיזוז הפסד מועבר</t>
        </is>
      </c>
      <c r="K358" s="298" t="n"/>
      <c r="N358" s="412" t="n">
        <v>0</v>
      </c>
    </row>
    <row r="359" ht="19" customHeight="1" s="282">
      <c r="A359" s="459" t="n"/>
      <c r="K359" s="298" t="n"/>
      <c r="N359" s="412">
        <f>N357+N358</f>
        <v/>
      </c>
    </row>
    <row r="360" ht="15.75" customHeight="1" s="282">
      <c r="A360" s="459" t="n"/>
      <c r="K360" s="298" t="n"/>
    </row>
    <row r="361" ht="15.75" customHeight="1" s="282">
      <c r="A361" s="459" t="n"/>
      <c r="K361" s="298" t="n"/>
    </row>
    <row r="362" ht="19" customHeight="1" s="282">
      <c r="A362" s="459" t="n"/>
      <c r="B362" s="388" t="inlineStr">
        <is>
          <t>הכנסה חייבת</t>
        </is>
      </c>
      <c r="K362" s="298" t="n"/>
      <c r="N362" s="417">
        <f>N353+N359</f>
        <v/>
      </c>
    </row>
    <row r="363">
      <c r="A363" s="459" t="n"/>
      <c r="B363" s="388" t="n"/>
      <c r="K363" s="298" t="n"/>
      <c r="P363" s="370">
        <f>N362*0.23</f>
        <v/>
      </c>
    </row>
    <row r="364">
      <c r="A364" s="459" t="n"/>
      <c r="K364" s="298" t="n"/>
    </row>
    <row r="365" ht="19" customHeight="1" s="282">
      <c r="A365" s="459" t="n"/>
      <c r="B365" s="388" t="inlineStr">
        <is>
          <t>הפסד הון להעברה</t>
        </is>
      </c>
      <c r="K365" s="298" t="n"/>
      <c r="N365" s="417">
        <f>-14804+3651</f>
        <v/>
      </c>
      <c r="P365" s="370">
        <f>SUM(P363:P364)</f>
        <v/>
      </c>
      <c r="Q365" s="370" t="inlineStr">
        <is>
          <t>מס לתשלום</t>
        </is>
      </c>
    </row>
    <row r="366">
      <c r="A366" s="459" t="n"/>
      <c r="K366" s="298" t="n"/>
    </row>
    <row r="367">
      <c r="A367" s="459" t="n"/>
      <c r="K367" s="298" t="n"/>
    </row>
    <row r="368">
      <c r="A368" s="459" t="n"/>
      <c r="K368" s="298" t="n"/>
    </row>
    <row r="369">
      <c r="A369" s="459" t="n"/>
      <c r="K369" s="298" t="n"/>
    </row>
    <row r="370">
      <c r="A370" s="459" t="n"/>
      <c r="K370" s="298" t="n"/>
    </row>
    <row r="371">
      <c r="A371" s="459" t="n"/>
      <c r="K371" s="298" t="n"/>
    </row>
    <row r="372">
      <c r="A372" s="459" t="n"/>
      <c r="K372" s="298" t="n"/>
    </row>
    <row r="373">
      <c r="A373" s="459" t="n"/>
      <c r="K373" s="298" t="n"/>
    </row>
    <row r="374">
      <c r="A374" s="459" t="n"/>
      <c r="K374" s="298" t="n"/>
      <c r="M374" s="429" t="inlineStr">
        <is>
          <t>דירקטור.............................</t>
        </is>
      </c>
    </row>
    <row r="375">
      <c r="A375" s="459" t="n"/>
      <c r="K375" s="298" t="n"/>
    </row>
    <row r="376">
      <c r="A376" s="459" t="n"/>
      <c r="B376" s="298" t="n"/>
      <c r="C376" s="298" t="n"/>
      <c r="D376" s="298" t="n"/>
      <c r="E376" s="298" t="n"/>
      <c r="F376" s="298" t="n"/>
      <c r="G376" s="298" t="n"/>
      <c r="H376" s="298" t="n"/>
      <c r="I376" s="298" t="n"/>
      <c r="J376" s="298" t="n"/>
      <c r="K376" s="298" t="n"/>
      <c r="L376" s="298" t="n"/>
      <c r="M376" s="298" t="n"/>
      <c r="N376" s="298" t="n"/>
    </row>
    <row r="377">
      <c r="A377" s="459" t="n"/>
      <c r="B377" s="298" t="n"/>
      <c r="C377" s="298" t="n"/>
      <c r="D377" s="298" t="n"/>
      <c r="E377" s="298" t="n"/>
      <c r="F377" s="298" t="n"/>
      <c r="G377" s="298" t="n"/>
      <c r="H377" s="298" t="n"/>
      <c r="I377" s="298" t="n"/>
      <c r="J377" s="298" t="n"/>
      <c r="K377" s="369" t="n"/>
      <c r="L377" s="298" t="n"/>
      <c r="M377" s="298" t="n"/>
      <c r="N377" s="298" t="n"/>
    </row>
    <row r="378">
      <c r="A378" s="459" t="n"/>
      <c r="B378" s="298" t="n"/>
      <c r="C378" s="298" t="n"/>
      <c r="D378" s="298" t="n"/>
      <c r="E378" s="298" t="n"/>
      <c r="F378" s="298" t="n"/>
      <c r="G378" s="298" t="n"/>
      <c r="H378" s="298" t="n"/>
      <c r="I378" s="298" t="n"/>
      <c r="J378" s="298" t="n"/>
      <c r="K378" s="369" t="n"/>
      <c r="L378" s="298" t="n"/>
      <c r="M378" s="298" t="n"/>
      <c r="N378" s="411" t="n"/>
    </row>
    <row r="379">
      <c r="A379" s="459" t="n"/>
      <c r="B379" s="298" t="n"/>
      <c r="C379" s="298" t="n"/>
      <c r="D379" s="298" t="n"/>
      <c r="E379" s="298" t="n"/>
      <c r="F379" s="298" t="n"/>
      <c r="G379" s="298" t="n"/>
      <c r="H379" s="298" t="n"/>
      <c r="I379" s="298" t="n"/>
      <c r="J379" s="298" t="n"/>
      <c r="K379" s="369" t="n"/>
      <c r="L379" s="298" t="n"/>
      <c r="M379" s="298" t="n"/>
      <c r="N379" s="411" t="n"/>
    </row>
    <row r="380">
      <c r="A380" s="459" t="n"/>
      <c r="B380" s="298" t="n"/>
      <c r="C380" s="298" t="n"/>
      <c r="D380" s="298" t="n"/>
      <c r="E380" s="298" t="n"/>
      <c r="F380" s="298" t="n"/>
      <c r="G380" s="298" t="n"/>
      <c r="H380" s="298" t="n"/>
      <c r="I380" s="298" t="n"/>
      <c r="J380" s="298" t="n"/>
      <c r="K380" s="369" t="n"/>
      <c r="L380" s="298" t="n"/>
      <c r="M380" s="298" t="n"/>
      <c r="N380" s="411" t="n"/>
    </row>
    <row r="381">
      <c r="A381" s="459" t="n"/>
      <c r="B381" s="298" t="n"/>
      <c r="C381" s="298" t="n"/>
      <c r="D381" s="298" t="n"/>
      <c r="E381" s="298" t="n"/>
      <c r="F381" s="298" t="n"/>
      <c r="G381" s="298" t="n"/>
      <c r="H381" s="298" t="n"/>
      <c r="I381" s="298" t="n"/>
      <c r="J381" s="298" t="n"/>
      <c r="K381" s="369" t="n"/>
      <c r="L381" s="298" t="n"/>
      <c r="M381" s="298" t="n"/>
      <c r="N381" s="411" t="n"/>
    </row>
    <row r="382">
      <c r="A382" s="459" t="n"/>
      <c r="B382" s="298" t="n"/>
      <c r="C382" s="298" t="n"/>
      <c r="D382" s="298" t="n"/>
      <c r="E382" s="298" t="n"/>
      <c r="F382" s="298" t="n"/>
      <c r="G382" s="298" t="n"/>
      <c r="H382" s="298" t="n"/>
      <c r="I382" s="298" t="n"/>
      <c r="J382" s="298" t="n"/>
      <c r="K382" s="369" t="n"/>
      <c r="L382" s="298" t="n"/>
      <c r="M382" s="298" t="n"/>
      <c r="N382" s="460" t="n"/>
    </row>
    <row r="383">
      <c r="A383" s="459" t="n"/>
      <c r="B383" s="298" t="n"/>
      <c r="C383" s="298" t="n"/>
      <c r="D383" s="298" t="n"/>
      <c r="E383" s="298" t="n"/>
      <c r="F383" s="298" t="n"/>
      <c r="G383" s="298" t="n"/>
      <c r="H383" s="298" t="n"/>
      <c r="I383" s="298" t="n"/>
      <c r="J383" s="298" t="n"/>
      <c r="K383" s="369" t="n"/>
      <c r="L383" s="298" t="n"/>
      <c r="M383" s="298" t="n"/>
      <c r="N383" s="298" t="n"/>
    </row>
    <row r="384">
      <c r="A384" s="459" t="n"/>
      <c r="B384" s="298" t="n"/>
      <c r="C384" s="298" t="n"/>
      <c r="D384" s="298" t="n"/>
      <c r="E384" s="298" t="n"/>
      <c r="F384" s="298" t="n"/>
      <c r="G384" s="298" t="n"/>
      <c r="H384" s="298" t="n"/>
      <c r="I384" s="298" t="n"/>
      <c r="J384" s="298" t="n"/>
      <c r="K384" s="369" t="n"/>
      <c r="L384" s="298" t="n"/>
      <c r="M384" s="298" t="n"/>
      <c r="N384" s="298" t="n"/>
    </row>
    <row r="385">
      <c r="A385" s="459" t="n"/>
      <c r="B385" s="451" t="n"/>
      <c r="C385" s="298" t="n"/>
      <c r="D385" s="298" t="n"/>
      <c r="E385" s="298" t="n"/>
      <c r="F385" s="298" t="n"/>
      <c r="G385" s="298" t="n"/>
      <c r="H385" s="298" t="n"/>
      <c r="I385" s="298" t="n"/>
      <c r="J385" s="298" t="n"/>
      <c r="K385" s="369" t="n"/>
      <c r="L385" s="298" t="n"/>
      <c r="M385" s="298" t="n"/>
      <c r="N385" s="298" t="n"/>
    </row>
    <row r="386">
      <c r="A386" s="459" t="n"/>
      <c r="B386" s="298" t="n"/>
      <c r="C386" s="298" t="n"/>
      <c r="D386" s="298" t="n"/>
      <c r="E386" s="298" t="n"/>
      <c r="F386" s="298" t="n"/>
      <c r="G386" s="298" t="n"/>
      <c r="H386" s="298" t="n"/>
      <c r="I386" s="298" t="n"/>
      <c r="J386" s="298" t="n"/>
      <c r="K386" s="369" t="n"/>
      <c r="L386" s="298" t="n"/>
      <c r="M386" s="298" t="n"/>
      <c r="N386" s="411" t="n"/>
    </row>
    <row r="387">
      <c r="A387" s="459" t="n"/>
      <c r="B387" s="298" t="n"/>
      <c r="C387" s="298" t="n"/>
      <c r="D387" s="298" t="n"/>
      <c r="E387" s="298" t="n"/>
      <c r="F387" s="298" t="n"/>
      <c r="G387" s="298" t="n"/>
      <c r="H387" s="298" t="n"/>
      <c r="I387" s="298" t="n"/>
      <c r="J387" s="298" t="n"/>
      <c r="K387" s="369" t="n"/>
      <c r="L387" s="298" t="n"/>
      <c r="M387" s="298" t="n"/>
      <c r="N387" s="411" t="n"/>
    </row>
    <row r="388">
      <c r="A388" s="459" t="n"/>
      <c r="B388" s="392" t="n"/>
      <c r="C388" s="392" t="n"/>
      <c r="D388" s="392" t="n"/>
      <c r="E388" s="392" t="n"/>
      <c r="F388" s="392" t="n"/>
      <c r="G388" s="392" t="n"/>
      <c r="H388" s="392" t="n"/>
      <c r="I388" s="392" t="n"/>
      <c r="J388" s="392" t="n"/>
      <c r="K388" s="393" t="n"/>
      <c r="L388" s="392" t="n"/>
      <c r="M388" s="392" t="n"/>
      <c r="N388" s="392" t="n"/>
    </row>
    <row r="389">
      <c r="A389" s="459" t="n"/>
      <c r="B389" s="298" t="inlineStr">
        <is>
          <t xml:space="preserve">                                      "בית דניאל "רוטשילד 15 חדרה  38205  טלפון 04-6326960  פקס 04-6228126  Email-elhadad@elhadad.co.il</t>
        </is>
      </c>
    </row>
    <row r="390">
      <c r="A390" s="459" t="n"/>
      <c r="B390" s="370" t="n"/>
      <c r="C390" s="370" t="n"/>
      <c r="D390" s="370" t="n"/>
      <c r="E390" s="370" t="n"/>
      <c r="F390" s="370" t="n"/>
      <c r="G390" s="370" t="n"/>
      <c r="H390" s="370" t="n"/>
      <c r="I390" s="370" t="n"/>
      <c r="J390" s="370" t="n"/>
      <c r="K390" s="471" t="n"/>
      <c r="L390" s="370" t="n"/>
      <c r="M390" s="370" t="n"/>
      <c r="N390" s="370" t="n"/>
    </row>
    <row r="391">
      <c r="A391" s="459" t="n"/>
      <c r="B391" s="370" t="n"/>
      <c r="C391" s="370" t="n"/>
      <c r="D391" s="370" t="n"/>
      <c r="E391" s="370" t="n"/>
      <c r="F391" s="370" t="n"/>
      <c r="G391" s="370" t="n"/>
      <c r="H391" s="370" t="n"/>
      <c r="I391" s="370" t="n"/>
      <c r="J391" s="370" t="n"/>
      <c r="K391" s="471" t="n"/>
      <c r="L391" s="370" t="n"/>
      <c r="M391" s="370" t="n"/>
      <c r="N391" s="370" t="n"/>
    </row>
    <row r="392">
      <c r="A392" s="459" t="n"/>
      <c r="B392" s="370" t="n"/>
      <c r="C392" s="370" t="n"/>
      <c r="D392" s="370" t="n"/>
      <c r="E392" s="370" t="n"/>
      <c r="F392" s="370" t="n"/>
      <c r="G392" s="370" t="n"/>
      <c r="H392" s="370" t="n"/>
      <c r="I392" s="370" t="n"/>
      <c r="J392" s="370" t="n"/>
      <c r="K392" s="471" t="n"/>
      <c r="L392" s="370" t="n"/>
      <c r="M392" s="370" t="n"/>
      <c r="N392" s="370" t="n"/>
    </row>
    <row r="393">
      <c r="A393" s="459" t="n"/>
      <c r="B393" s="370" t="n"/>
      <c r="C393" s="370" t="n"/>
      <c r="D393" s="370" t="n"/>
      <c r="E393" s="370" t="n"/>
      <c r="F393" s="370" t="n"/>
      <c r="G393" s="370" t="n"/>
      <c r="H393" s="370" t="n"/>
      <c r="I393" s="370" t="n"/>
      <c r="J393" s="370" t="n"/>
      <c r="K393" s="471" t="n"/>
      <c r="L393" s="370" t="n"/>
      <c r="M393" s="370" t="n"/>
      <c r="N393" s="370" t="n"/>
    </row>
    <row r="394">
      <c r="A394" s="459" t="n"/>
      <c r="B394" s="370" t="n"/>
      <c r="C394" s="370" t="n"/>
      <c r="D394" s="370" t="n"/>
      <c r="E394" s="370" t="n"/>
      <c r="F394" s="370" t="n"/>
      <c r="G394" s="370" t="n"/>
      <c r="H394" s="370" t="n"/>
      <c r="I394" s="370" t="n"/>
      <c r="J394" s="370" t="n"/>
      <c r="K394" s="471" t="n"/>
      <c r="L394" s="370" t="n"/>
      <c r="M394" s="370" t="n"/>
      <c r="N394" s="370" t="n"/>
    </row>
    <row r="395">
      <c r="A395" s="459" t="n"/>
      <c r="B395" s="370" t="n"/>
      <c r="C395" s="370" t="n"/>
      <c r="D395" s="370" t="n"/>
      <c r="E395" s="370" t="n"/>
      <c r="F395" s="370" t="n"/>
      <c r="G395" s="370" t="n"/>
      <c r="H395" s="370" t="n"/>
      <c r="I395" s="370" t="n"/>
      <c r="J395" s="370" t="n"/>
      <c r="K395" s="471" t="n"/>
      <c r="L395" s="370" t="n"/>
      <c r="M395" s="370" t="n"/>
      <c r="N395" s="370" t="n"/>
    </row>
    <row r="396">
      <c r="A396" s="459" t="n"/>
      <c r="B396" s="370" t="n"/>
      <c r="C396" s="370" t="n"/>
      <c r="D396" s="370" t="n"/>
      <c r="E396" s="370" t="n"/>
      <c r="F396" s="370" t="n"/>
      <c r="G396" s="370" t="n"/>
      <c r="H396" s="370" t="n"/>
      <c r="I396" s="370" t="n"/>
      <c r="J396" s="370" t="n"/>
      <c r="K396" s="471" t="n"/>
      <c r="L396" s="370" t="n"/>
      <c r="M396" s="370" t="n"/>
      <c r="N396" s="370" t="n"/>
    </row>
    <row r="397">
      <c r="A397" s="459" t="n"/>
      <c r="B397" s="370" t="n"/>
      <c r="C397" s="370" t="n"/>
      <c r="D397" s="370" t="n"/>
      <c r="E397" s="370" t="n"/>
      <c r="F397" s="370" t="n"/>
      <c r="G397" s="370" t="n"/>
      <c r="H397" s="370" t="n"/>
      <c r="I397" s="370" t="n"/>
      <c r="J397" s="370" t="n"/>
      <c r="K397" s="471" t="n"/>
      <c r="L397" s="370" t="n"/>
      <c r="M397" s="370" t="n"/>
      <c r="N397" s="370" t="n"/>
    </row>
    <row r="398">
      <c r="A398" s="459" t="n"/>
      <c r="B398" s="370" t="n"/>
      <c r="C398" s="370" t="n"/>
      <c r="D398" s="370" t="n"/>
      <c r="E398" s="370" t="n"/>
      <c r="F398" s="370" t="n"/>
      <c r="G398" s="370" t="n"/>
      <c r="H398" s="370" t="n"/>
      <c r="I398" s="370" t="n"/>
      <c r="J398" s="370" t="n"/>
      <c r="K398" s="471" t="n"/>
      <c r="L398" s="370" t="n"/>
      <c r="M398" s="370" t="n"/>
      <c r="N398" s="370" t="n"/>
    </row>
    <row r="399">
      <c r="A399" s="459" t="n"/>
      <c r="B399" s="370" t="n"/>
      <c r="C399" s="370" t="n"/>
      <c r="D399" s="370" t="n"/>
      <c r="E399" s="370" t="n"/>
      <c r="F399" s="370" t="n"/>
      <c r="G399" s="370" t="n"/>
      <c r="H399" s="370" t="n"/>
      <c r="I399" s="370" t="n"/>
      <c r="J399" s="370" t="n"/>
      <c r="K399" s="471" t="n"/>
      <c r="L399" s="370" t="n"/>
      <c r="M399" s="370" t="n"/>
      <c r="N399" s="370" t="n"/>
    </row>
    <row r="400">
      <c r="A400" s="459" t="n"/>
      <c r="B400" s="370" t="n"/>
      <c r="C400" s="370" t="n"/>
      <c r="D400" s="370" t="n"/>
      <c r="E400" s="370" t="n"/>
      <c r="F400" s="370" t="n"/>
      <c r="G400" s="370" t="n"/>
      <c r="H400" s="370" t="n"/>
      <c r="I400" s="370" t="n"/>
      <c r="J400" s="370" t="n"/>
      <c r="K400" s="471" t="n"/>
      <c r="L400" s="370" t="n"/>
      <c r="M400" s="370" t="n"/>
      <c r="N400" s="370" t="n"/>
    </row>
    <row r="401">
      <c r="A401" s="459" t="n"/>
      <c r="B401" s="370" t="n"/>
      <c r="C401" s="370" t="n"/>
      <c r="D401" s="370" t="n"/>
      <c r="E401" s="370" t="n"/>
      <c r="F401" s="370" t="n"/>
      <c r="G401" s="370" t="n"/>
      <c r="H401" s="370" t="n"/>
      <c r="I401" s="370" t="n"/>
      <c r="J401" s="370" t="n"/>
      <c r="K401" s="471" t="n"/>
      <c r="L401" s="370" t="n"/>
      <c r="M401" s="370" t="n"/>
      <c r="N401" s="370" t="n"/>
    </row>
    <row r="402">
      <c r="A402" s="459" t="n"/>
      <c r="B402" s="370" t="n"/>
      <c r="C402" s="370" t="n"/>
      <c r="D402" s="370" t="n"/>
      <c r="E402" s="370" t="n"/>
      <c r="F402" s="370" t="n"/>
      <c r="G402" s="370" t="n"/>
      <c r="H402" s="370" t="n"/>
      <c r="I402" s="370" t="n"/>
      <c r="J402" s="370" t="n"/>
      <c r="K402" s="471" t="n"/>
      <c r="L402" s="370" t="n"/>
      <c r="M402" s="370" t="n"/>
      <c r="N402" s="370" t="n"/>
    </row>
    <row r="403">
      <c r="A403" s="459" t="n"/>
      <c r="B403" s="370" t="n"/>
      <c r="C403" s="370" t="n"/>
      <c r="D403" s="370" t="n"/>
      <c r="E403" s="370" t="n"/>
      <c r="F403" s="370" t="n"/>
      <c r="G403" s="370" t="n"/>
      <c r="H403" s="370" t="n"/>
      <c r="I403" s="370" t="n"/>
      <c r="J403" s="370" t="n"/>
      <c r="K403" s="471" t="n"/>
      <c r="L403" s="370" t="n"/>
      <c r="M403" s="370" t="n"/>
      <c r="N403" s="370" t="n"/>
    </row>
    <row r="404">
      <c r="A404" s="459" t="n"/>
      <c r="B404" s="370" t="n"/>
      <c r="C404" s="370" t="n"/>
      <c r="D404" s="370" t="n"/>
      <c r="E404" s="370" t="n"/>
      <c r="F404" s="370" t="n"/>
      <c r="G404" s="370" t="n"/>
      <c r="H404" s="370" t="n"/>
      <c r="I404" s="370" t="n"/>
      <c r="J404" s="370" t="n"/>
      <c r="K404" s="471" t="n"/>
      <c r="L404" s="370" t="n"/>
      <c r="M404" s="370" t="n"/>
      <c r="N404" s="370" t="n"/>
    </row>
    <row r="405">
      <c r="A405" s="459" t="n"/>
      <c r="B405" s="370" t="n"/>
      <c r="C405" s="370" t="n"/>
      <c r="D405" s="370" t="n"/>
      <c r="E405" s="370" t="n"/>
      <c r="F405" s="370" t="n"/>
      <c r="G405" s="370" t="n"/>
      <c r="H405" s="370" t="n"/>
      <c r="I405" s="370" t="n"/>
      <c r="J405" s="370" t="n"/>
      <c r="K405" s="471" t="n"/>
      <c r="L405" s="370" t="n"/>
      <c r="M405" s="370" t="n"/>
      <c r="N405" s="370" t="n"/>
    </row>
    <row r="406">
      <c r="A406" s="459" t="n"/>
      <c r="B406" s="370" t="n"/>
      <c r="C406" s="370" t="n"/>
      <c r="D406" s="370" t="n"/>
      <c r="E406" s="370" t="n"/>
      <c r="F406" s="370" t="n"/>
      <c r="G406" s="370" t="n"/>
      <c r="H406" s="370" t="n"/>
      <c r="I406" s="370" t="n"/>
      <c r="J406" s="370" t="n"/>
      <c r="K406" s="471" t="n"/>
      <c r="L406" s="370" t="n"/>
      <c r="M406" s="370" t="n"/>
      <c r="N406" s="370" t="n"/>
    </row>
    <row r="407">
      <c r="A407" s="459" t="n"/>
      <c r="B407" s="370" t="n"/>
      <c r="C407" s="370" t="n"/>
      <c r="D407" s="370" t="n"/>
      <c r="E407" s="370" t="n"/>
      <c r="F407" s="370" t="n"/>
      <c r="G407" s="370" t="n"/>
      <c r="H407" s="370" t="n"/>
      <c r="I407" s="370" t="n"/>
      <c r="J407" s="370" t="n"/>
      <c r="K407" s="471" t="n"/>
      <c r="L407" s="370" t="n"/>
      <c r="M407" s="370" t="n"/>
      <c r="N407" s="370" t="n"/>
    </row>
    <row r="408">
      <c r="A408" s="459" t="n"/>
      <c r="B408" s="370" t="n"/>
      <c r="C408" s="370" t="n"/>
      <c r="D408" s="370" t="n"/>
      <c r="E408" s="370" t="n"/>
      <c r="F408" s="370" t="n"/>
      <c r="G408" s="370" t="n"/>
      <c r="H408" s="370" t="n"/>
      <c r="I408" s="370" t="n"/>
      <c r="J408" s="370" t="n"/>
      <c r="K408" s="471" t="n"/>
      <c r="L408" s="370" t="n"/>
      <c r="M408" s="370" t="n"/>
      <c r="N408" s="370" t="n"/>
    </row>
    <row r="409">
      <c r="A409" s="459" t="n"/>
      <c r="B409" s="370" t="n"/>
      <c r="C409" s="370" t="n"/>
      <c r="D409" s="370" t="n"/>
      <c r="E409" s="370" t="n"/>
      <c r="F409" s="370" t="n"/>
      <c r="G409" s="370" t="n"/>
      <c r="H409" s="370" t="n"/>
      <c r="I409" s="370" t="n"/>
      <c r="J409" s="370" t="n"/>
      <c r="K409" s="471" t="n"/>
      <c r="L409" s="370" t="n"/>
      <c r="M409" s="370" t="n"/>
      <c r="N409" s="370" t="n"/>
    </row>
    <row r="410">
      <c r="A410" s="459" t="n"/>
      <c r="B410" s="370" t="n"/>
      <c r="C410" s="370" t="n"/>
      <c r="D410" s="370" t="n"/>
      <c r="E410" s="370" t="n"/>
      <c r="F410" s="370" t="n"/>
      <c r="G410" s="370" t="n"/>
      <c r="H410" s="370" t="n"/>
      <c r="I410" s="370" t="n"/>
      <c r="J410" s="370" t="n"/>
      <c r="K410" s="471" t="n"/>
      <c r="L410" s="370" t="n"/>
      <c r="M410" s="370" t="n"/>
      <c r="N410" s="370" t="n"/>
    </row>
    <row r="411">
      <c r="A411" s="459" t="n"/>
      <c r="B411" s="370" t="n"/>
      <c r="C411" s="370" t="n"/>
      <c r="D411" s="370" t="n"/>
      <c r="E411" s="370" t="n"/>
      <c r="F411" s="370" t="n"/>
      <c r="G411" s="370" t="n"/>
      <c r="H411" s="370" t="n"/>
      <c r="I411" s="370" t="n"/>
      <c r="J411" s="370" t="n"/>
      <c r="K411" s="471" t="n"/>
      <c r="L411" s="370" t="n"/>
      <c r="M411" s="370" t="n"/>
      <c r="N411" s="370" t="n"/>
    </row>
    <row r="412">
      <c r="A412" s="459" t="n"/>
      <c r="B412" s="370" t="n"/>
      <c r="C412" s="370" t="n"/>
      <c r="D412" s="370" t="n"/>
      <c r="E412" s="370" t="n"/>
      <c r="F412" s="370" t="n"/>
      <c r="G412" s="370" t="n"/>
      <c r="H412" s="370" t="n"/>
      <c r="I412" s="370" t="n"/>
      <c r="J412" s="370" t="n"/>
      <c r="K412" s="471" t="n"/>
      <c r="L412" s="370" t="n"/>
      <c r="M412" s="370" t="n"/>
      <c r="N412" s="370" t="n"/>
    </row>
    <row r="413">
      <c r="A413" s="459" t="n"/>
      <c r="B413" s="370" t="n"/>
      <c r="C413" s="370" t="n"/>
      <c r="D413" s="370" t="n"/>
      <c r="E413" s="370" t="n"/>
      <c r="F413" s="370" t="n"/>
      <c r="G413" s="370" t="n"/>
      <c r="H413" s="370" t="n"/>
      <c r="I413" s="370" t="n"/>
      <c r="J413" s="370" t="n"/>
      <c r="K413" s="471" t="n"/>
      <c r="L413" s="370" t="n"/>
      <c r="M413" s="370" t="n"/>
      <c r="N413" s="370" t="n"/>
    </row>
    <row r="414">
      <c r="A414" s="459" t="n"/>
      <c r="B414" s="370" t="n"/>
      <c r="C414" s="370" t="n"/>
      <c r="D414" s="370" t="n"/>
      <c r="E414" s="370" t="n"/>
      <c r="F414" s="370" t="n"/>
      <c r="G414" s="370" t="n"/>
      <c r="H414" s="370" t="n"/>
      <c r="I414" s="370" t="n"/>
      <c r="J414" s="370" t="n"/>
      <c r="K414" s="471" t="n"/>
      <c r="L414" s="370" t="n"/>
      <c r="M414" s="370" t="n"/>
      <c r="N414" s="370" t="n"/>
    </row>
    <row r="415">
      <c r="A415" s="459" t="n"/>
      <c r="B415" s="370" t="n"/>
      <c r="C415" s="370" t="n"/>
      <c r="D415" s="370" t="n"/>
      <c r="E415" s="370" t="n"/>
      <c r="F415" s="370" t="n"/>
      <c r="G415" s="370" t="n"/>
      <c r="H415" s="370" t="n"/>
      <c r="I415" s="370" t="n"/>
      <c r="J415" s="370" t="n"/>
      <c r="K415" s="471" t="n"/>
      <c r="L415" s="370" t="n"/>
      <c r="M415" s="370" t="n"/>
      <c r="N415" s="370" t="n"/>
    </row>
    <row r="416">
      <c r="A416" s="459" t="n"/>
      <c r="B416" s="370" t="n"/>
      <c r="C416" s="370" t="n"/>
      <c r="D416" s="370" t="n"/>
      <c r="E416" s="370" t="n"/>
      <c r="F416" s="370" t="n"/>
      <c r="G416" s="370" t="n"/>
      <c r="H416" s="370" t="n"/>
      <c r="I416" s="370" t="n"/>
      <c r="J416" s="370" t="n"/>
      <c r="K416" s="471" t="n"/>
      <c r="L416" s="370" t="n"/>
      <c r="M416" s="370" t="n"/>
      <c r="N416" s="370" t="n"/>
    </row>
    <row r="417">
      <c r="A417" s="459" t="n"/>
      <c r="B417" s="370" t="n"/>
      <c r="C417" s="370" t="n"/>
      <c r="D417" s="370" t="n"/>
      <c r="E417" s="370" t="n"/>
      <c r="F417" s="370" t="n"/>
      <c r="G417" s="370" t="n"/>
      <c r="H417" s="370" t="n"/>
      <c r="I417" s="370" t="n"/>
      <c r="J417" s="370" t="n"/>
      <c r="K417" s="471" t="n"/>
      <c r="L417" s="370" t="n"/>
      <c r="M417" s="370" t="n"/>
      <c r="N417" s="370" t="n"/>
    </row>
    <row r="418">
      <c r="A418" s="459" t="n"/>
      <c r="B418" s="370" t="n"/>
      <c r="C418" s="370" t="n"/>
      <c r="D418" s="370" t="n"/>
      <c r="E418" s="370" t="n"/>
      <c r="F418" s="370" t="n"/>
      <c r="G418" s="370" t="n"/>
      <c r="H418" s="370" t="n"/>
      <c r="I418" s="370" t="n"/>
      <c r="J418" s="370" t="n"/>
      <c r="K418" s="471" t="n"/>
      <c r="L418" s="370" t="n"/>
      <c r="M418" s="370" t="n"/>
      <c r="N418" s="370" t="n"/>
    </row>
    <row r="419">
      <c r="A419" s="459" t="n"/>
      <c r="B419" s="370" t="n"/>
      <c r="C419" s="370" t="n"/>
      <c r="D419" s="370" t="n"/>
      <c r="E419" s="370" t="n"/>
      <c r="F419" s="370" t="n"/>
      <c r="G419" s="370" t="n"/>
      <c r="H419" s="370" t="n"/>
      <c r="I419" s="370" t="n"/>
      <c r="J419" s="370" t="n"/>
      <c r="K419" s="471" t="n"/>
      <c r="L419" s="370" t="n"/>
      <c r="M419" s="370" t="n"/>
      <c r="N419" s="370" t="n"/>
    </row>
    <row r="420">
      <c r="A420" s="459" t="n"/>
      <c r="B420" s="370" t="n"/>
      <c r="C420" s="370" t="n"/>
      <c r="D420" s="370" t="n"/>
      <c r="E420" s="370" t="n"/>
      <c r="F420" s="370" t="n"/>
      <c r="G420" s="370" t="n"/>
      <c r="H420" s="370" t="n"/>
      <c r="I420" s="370" t="n"/>
      <c r="J420" s="370" t="n"/>
      <c r="K420" s="471" t="n"/>
      <c r="L420" s="370" t="n"/>
      <c r="M420" s="370" t="n"/>
      <c r="N420" s="370" t="n"/>
    </row>
    <row r="421">
      <c r="A421" s="459" t="n"/>
      <c r="B421" s="370" t="n"/>
      <c r="C421" s="370" t="n"/>
      <c r="D421" s="370" t="n"/>
      <c r="E421" s="370" t="n"/>
      <c r="F421" s="370" t="n"/>
      <c r="G421" s="370" t="n"/>
      <c r="H421" s="370" t="n"/>
      <c r="I421" s="370" t="n"/>
      <c r="J421" s="370" t="n"/>
      <c r="K421" s="471" t="n"/>
      <c r="L421" s="370" t="n"/>
      <c r="M421" s="370" t="n"/>
      <c r="N421" s="370" t="n"/>
    </row>
    <row r="422">
      <c r="A422" s="459" t="n"/>
      <c r="B422" s="370" t="n"/>
      <c r="C422" s="370" t="n"/>
      <c r="D422" s="370" t="n"/>
      <c r="E422" s="370" t="n"/>
      <c r="F422" s="370" t="n"/>
      <c r="G422" s="370" t="n"/>
      <c r="H422" s="370" t="n"/>
      <c r="I422" s="370" t="n"/>
      <c r="J422" s="370" t="n"/>
      <c r="K422" s="471" t="n"/>
      <c r="L422" s="370" t="n"/>
      <c r="M422" s="370" t="n"/>
      <c r="N422" s="370" t="n"/>
    </row>
    <row r="423">
      <c r="A423" s="459" t="n"/>
      <c r="B423" s="370" t="n"/>
      <c r="C423" s="370" t="n"/>
      <c r="D423" s="370" t="n"/>
      <c r="E423" s="370" t="n"/>
      <c r="F423" s="370" t="n"/>
      <c r="G423" s="370" t="n"/>
      <c r="H423" s="370" t="n"/>
      <c r="I423" s="370" t="n"/>
      <c r="J423" s="370" t="n"/>
      <c r="K423" s="471" t="n"/>
      <c r="L423" s="370" t="n"/>
      <c r="M423" s="370" t="n"/>
      <c r="N423" s="370" t="n"/>
    </row>
    <row r="424">
      <c r="A424" s="459" t="n"/>
      <c r="B424" s="370" t="n"/>
      <c r="C424" s="370" t="n"/>
      <c r="D424" s="370" t="n"/>
      <c r="E424" s="370" t="n"/>
      <c r="F424" s="370" t="n"/>
      <c r="G424" s="370" t="n"/>
      <c r="H424" s="370" t="n"/>
      <c r="I424" s="370" t="n"/>
      <c r="J424" s="370" t="n"/>
      <c r="K424" s="471" t="n"/>
      <c r="L424" s="370" t="n"/>
      <c r="M424" s="370" t="n"/>
      <c r="N424" s="370" t="n"/>
    </row>
    <row r="425">
      <c r="A425" s="459" t="n"/>
      <c r="B425" s="370" t="n"/>
      <c r="C425" s="370" t="n"/>
      <c r="D425" s="370" t="n"/>
      <c r="E425" s="370" t="n"/>
      <c r="F425" s="370" t="n"/>
      <c r="G425" s="370" t="n"/>
      <c r="H425" s="370" t="n"/>
      <c r="I425" s="370" t="n"/>
      <c r="J425" s="370" t="n"/>
      <c r="K425" s="471" t="n"/>
      <c r="L425" s="370" t="n"/>
      <c r="M425" s="370" t="n"/>
      <c r="N425" s="370" t="n"/>
    </row>
    <row r="426">
      <c r="A426" s="459" t="n"/>
      <c r="B426" s="370" t="n"/>
      <c r="C426" s="370" t="n"/>
      <c r="D426" s="370" t="n"/>
      <c r="E426" s="370" t="n"/>
      <c r="F426" s="370" t="n"/>
      <c r="G426" s="370" t="n"/>
      <c r="H426" s="370" t="n"/>
      <c r="I426" s="370" t="n"/>
      <c r="J426" s="370" t="n"/>
      <c r="K426" s="471" t="n"/>
      <c r="L426" s="370" t="n"/>
      <c r="M426" s="370" t="n"/>
      <c r="N426" s="370" t="n"/>
    </row>
    <row r="427">
      <c r="A427" s="459" t="n"/>
      <c r="B427" s="370" t="n"/>
      <c r="C427" s="370" t="n"/>
      <c r="D427" s="370" t="n"/>
      <c r="E427" s="370" t="n"/>
      <c r="F427" s="370" t="n"/>
      <c r="G427" s="370" t="n"/>
      <c r="H427" s="370" t="n"/>
      <c r="I427" s="370" t="n"/>
      <c r="J427" s="370" t="n"/>
      <c r="K427" s="471" t="n"/>
      <c r="L427" s="370" t="n"/>
      <c r="M427" s="370" t="n"/>
      <c r="N427" s="370" t="n"/>
    </row>
    <row r="428">
      <c r="A428" s="459" t="n"/>
      <c r="B428" s="370" t="n"/>
      <c r="C428" s="370" t="n"/>
      <c r="D428" s="370" t="n"/>
      <c r="E428" s="370" t="n"/>
      <c r="F428" s="370" t="n"/>
      <c r="G428" s="370" t="n"/>
      <c r="H428" s="370" t="n"/>
      <c r="I428" s="370" t="n"/>
      <c r="J428" s="370" t="n"/>
      <c r="K428" s="471" t="n"/>
      <c r="L428" s="370" t="n"/>
      <c r="M428" s="370" t="n"/>
      <c r="N428" s="370" t="n"/>
    </row>
    <row r="429">
      <c r="A429" s="459" t="n"/>
      <c r="B429" s="370" t="n"/>
      <c r="C429" s="370" t="n"/>
      <c r="D429" s="370" t="n"/>
      <c r="E429" s="370" t="n"/>
      <c r="F429" s="370" t="n"/>
      <c r="G429" s="370" t="n"/>
      <c r="H429" s="370" t="n"/>
      <c r="I429" s="370" t="n"/>
      <c r="J429" s="370" t="n"/>
      <c r="K429" s="471" t="n"/>
      <c r="L429" s="370" t="n"/>
      <c r="M429" s="370" t="n"/>
      <c r="N429" s="370" t="n"/>
    </row>
    <row r="430">
      <c r="A430" s="459" t="n"/>
      <c r="B430" s="370" t="n"/>
      <c r="C430" s="370" t="n"/>
      <c r="D430" s="370" t="n"/>
      <c r="E430" s="370" t="n"/>
      <c r="F430" s="370" t="n"/>
      <c r="G430" s="370" t="n"/>
      <c r="H430" s="370" t="n"/>
      <c r="I430" s="370" t="n"/>
      <c r="J430" s="370" t="n"/>
      <c r="K430" s="471" t="n"/>
      <c r="L430" s="370" t="n"/>
      <c r="M430" s="370" t="n"/>
      <c r="N430" s="370" t="n"/>
    </row>
    <row r="431">
      <c r="A431" s="459" t="n"/>
      <c r="B431" s="370" t="n"/>
      <c r="C431" s="370" t="n"/>
      <c r="D431" s="370" t="n"/>
      <c r="E431" s="370" t="n"/>
      <c r="F431" s="370" t="n"/>
      <c r="G431" s="370" t="n"/>
      <c r="H431" s="370" t="n"/>
      <c r="I431" s="370" t="n"/>
      <c r="J431" s="370" t="n"/>
      <c r="K431" s="471" t="n"/>
      <c r="L431" s="370" t="n"/>
      <c r="M431" s="370" t="n"/>
      <c r="N431" s="370" t="n"/>
    </row>
    <row r="432">
      <c r="A432" s="459" t="n"/>
      <c r="B432" s="370" t="n"/>
      <c r="C432" s="370" t="n"/>
      <c r="D432" s="370" t="n"/>
      <c r="E432" s="370" t="n"/>
      <c r="F432" s="370" t="n"/>
      <c r="G432" s="370" t="n"/>
      <c r="H432" s="370" t="n"/>
      <c r="I432" s="370" t="n"/>
      <c r="J432" s="370" t="n"/>
      <c r="K432" s="471" t="n"/>
      <c r="L432" s="370" t="n"/>
      <c r="M432" s="370" t="n"/>
      <c r="N432" s="370" t="n"/>
    </row>
    <row r="433">
      <c r="A433" s="459" t="n"/>
      <c r="B433" s="370" t="n"/>
      <c r="C433" s="370" t="n"/>
      <c r="D433" s="370" t="n"/>
      <c r="E433" s="370" t="n"/>
      <c r="F433" s="370" t="n"/>
      <c r="G433" s="370" t="n"/>
      <c r="H433" s="370" t="n"/>
      <c r="I433" s="370" t="n"/>
      <c r="J433" s="370" t="n"/>
      <c r="K433" s="471" t="n"/>
      <c r="L433" s="370" t="n"/>
      <c r="M433" s="370" t="n"/>
      <c r="N433" s="370" t="n"/>
    </row>
    <row r="434">
      <c r="A434" s="459" t="n"/>
      <c r="B434" s="370" t="n"/>
      <c r="C434" s="370" t="n"/>
      <c r="D434" s="370" t="n"/>
      <c r="E434" s="370" t="n"/>
      <c r="F434" s="370" t="n"/>
      <c r="G434" s="370" t="n"/>
      <c r="H434" s="370" t="n"/>
      <c r="I434" s="370" t="n"/>
      <c r="J434" s="370" t="n"/>
      <c r="K434" s="471" t="n"/>
      <c r="L434" s="370" t="n"/>
      <c r="M434" s="370" t="n"/>
      <c r="N434" s="370" t="n"/>
    </row>
    <row r="435">
      <c r="A435" s="459" t="n"/>
      <c r="B435" s="370" t="n"/>
      <c r="C435" s="370" t="n"/>
      <c r="D435" s="370" t="n"/>
      <c r="E435" s="370" t="n"/>
      <c r="F435" s="370" t="n"/>
      <c r="G435" s="370" t="n"/>
      <c r="H435" s="370" t="n"/>
      <c r="I435" s="370" t="n"/>
      <c r="J435" s="370" t="n"/>
      <c r="K435" s="471" t="n"/>
      <c r="L435" s="370" t="n"/>
      <c r="M435" s="370" t="n"/>
      <c r="N435" s="370" t="n"/>
    </row>
    <row r="436">
      <c r="A436" s="459" t="n"/>
      <c r="B436" s="370" t="n"/>
      <c r="C436" s="370" t="n"/>
      <c r="D436" s="370" t="n"/>
      <c r="E436" s="370" t="n"/>
      <c r="F436" s="370" t="n"/>
      <c r="G436" s="370" t="n"/>
      <c r="H436" s="370" t="n"/>
      <c r="I436" s="370" t="n"/>
      <c r="J436" s="370" t="n"/>
      <c r="K436" s="471" t="n"/>
      <c r="L436" s="370" t="n"/>
      <c r="M436" s="370" t="n"/>
      <c r="N436" s="370" t="n"/>
    </row>
    <row r="437">
      <c r="A437" s="459" t="n"/>
      <c r="B437" s="370" t="n"/>
      <c r="C437" s="370" t="n"/>
      <c r="D437" s="370" t="n"/>
      <c r="E437" s="370" t="n"/>
      <c r="F437" s="370" t="n"/>
      <c r="G437" s="370" t="n"/>
      <c r="H437" s="370" t="n"/>
      <c r="I437" s="370" t="n"/>
      <c r="J437" s="370" t="n"/>
      <c r="K437" s="471" t="n"/>
      <c r="L437" s="370" t="n"/>
      <c r="M437" s="370" t="n"/>
      <c r="N437" s="370" t="n"/>
    </row>
    <row r="438">
      <c r="A438" s="459" t="n"/>
      <c r="B438" s="370" t="n"/>
      <c r="C438" s="370" t="n"/>
      <c r="D438" s="370" t="n"/>
      <c r="E438" s="370" t="n"/>
      <c r="F438" s="370" t="n"/>
      <c r="G438" s="370" t="n"/>
      <c r="H438" s="370" t="n"/>
      <c r="I438" s="370" t="n"/>
      <c r="J438" s="370" t="n"/>
      <c r="K438" s="471" t="n"/>
      <c r="L438" s="370" t="n"/>
      <c r="M438" s="370" t="n"/>
      <c r="N438" s="370" t="n"/>
    </row>
    <row r="439">
      <c r="A439" s="459" t="n"/>
      <c r="B439" s="370" t="n"/>
      <c r="C439" s="370" t="n"/>
      <c r="D439" s="370" t="n"/>
      <c r="E439" s="370" t="n"/>
      <c r="F439" s="370" t="n"/>
      <c r="G439" s="370" t="n"/>
      <c r="H439" s="370" t="n"/>
      <c r="I439" s="370" t="n"/>
      <c r="J439" s="370" t="n"/>
      <c r="K439" s="471" t="n"/>
      <c r="L439" s="370" t="n"/>
      <c r="M439" s="370" t="n"/>
      <c r="N439" s="370" t="n"/>
    </row>
    <row r="440">
      <c r="A440" s="459" t="n"/>
      <c r="B440" s="370" t="n"/>
      <c r="C440" s="370" t="n"/>
      <c r="D440" s="370" t="n"/>
      <c r="E440" s="370" t="n"/>
      <c r="F440" s="370" t="n"/>
      <c r="G440" s="370" t="n"/>
      <c r="H440" s="370" t="n"/>
      <c r="I440" s="370" t="n"/>
      <c r="J440" s="370" t="n"/>
      <c r="K440" s="471" t="n"/>
      <c r="L440" s="370" t="n"/>
      <c r="M440" s="370" t="n"/>
      <c r="N440" s="370" t="n"/>
    </row>
    <row r="441">
      <c r="A441" s="459" t="n"/>
      <c r="B441" s="370" t="n"/>
      <c r="C441" s="370" t="n"/>
      <c r="D441" s="370" t="n"/>
      <c r="E441" s="370" t="n"/>
      <c r="F441" s="370" t="n"/>
      <c r="G441" s="370" t="n"/>
      <c r="H441" s="370" t="n"/>
      <c r="I441" s="370" t="n"/>
      <c r="J441" s="370" t="n"/>
      <c r="K441" s="471" t="n"/>
      <c r="L441" s="370" t="n"/>
      <c r="M441" s="370" t="n"/>
      <c r="N441" s="370" t="n"/>
    </row>
    <row r="442">
      <c r="A442" s="459" t="n"/>
      <c r="B442" s="370" t="n"/>
      <c r="C442" s="370" t="n"/>
      <c r="D442" s="370" t="n"/>
      <c r="E442" s="370" t="n"/>
      <c r="F442" s="370" t="n"/>
      <c r="G442" s="370" t="n"/>
      <c r="H442" s="370" t="n"/>
      <c r="I442" s="370" t="n"/>
      <c r="J442" s="370" t="n"/>
      <c r="K442" s="471" t="n"/>
      <c r="L442" s="370" t="n"/>
      <c r="M442" s="370" t="n"/>
      <c r="N442" s="370" t="n"/>
    </row>
    <row r="443">
      <c r="A443" s="459" t="n"/>
      <c r="B443" s="370" t="n"/>
      <c r="C443" s="370" t="n"/>
      <c r="D443" s="370" t="n"/>
      <c r="E443" s="370" t="n"/>
      <c r="F443" s="370" t="n"/>
      <c r="G443" s="370" t="n"/>
      <c r="H443" s="370" t="n"/>
      <c r="I443" s="370" t="n"/>
      <c r="J443" s="370" t="n"/>
      <c r="K443" s="471" t="n"/>
      <c r="L443" s="370" t="n"/>
      <c r="M443" s="370" t="n"/>
      <c r="N443" s="370" t="n"/>
    </row>
    <row r="444">
      <c r="A444" s="459" t="n"/>
      <c r="B444" s="370" t="n"/>
      <c r="C444" s="370" t="n"/>
      <c r="D444" s="370" t="n"/>
      <c r="E444" s="370" t="n"/>
      <c r="F444" s="370" t="n"/>
      <c r="G444" s="370" t="n"/>
      <c r="H444" s="370" t="n"/>
      <c r="I444" s="370" t="n"/>
      <c r="J444" s="370" t="n"/>
      <c r="K444" s="471" t="n"/>
      <c r="L444" s="370" t="n"/>
      <c r="M444" s="370" t="n"/>
      <c r="N444" s="370" t="n"/>
    </row>
    <row r="445">
      <c r="A445" s="459" t="n"/>
      <c r="B445" s="370" t="n"/>
      <c r="C445" s="370" t="n"/>
      <c r="D445" s="370" t="n"/>
      <c r="E445" s="370" t="n"/>
      <c r="F445" s="370" t="n"/>
      <c r="G445" s="370" t="n"/>
      <c r="H445" s="370" t="n"/>
      <c r="I445" s="370" t="n"/>
      <c r="J445" s="370" t="n"/>
      <c r="K445" s="471" t="n"/>
      <c r="L445" s="370" t="n"/>
      <c r="M445" s="370" t="n"/>
      <c r="N445" s="370" t="n"/>
    </row>
    <row r="446">
      <c r="A446" s="459" t="n"/>
      <c r="B446" s="370" t="n"/>
      <c r="C446" s="370" t="n"/>
      <c r="D446" s="370" t="n"/>
      <c r="E446" s="370" t="n"/>
      <c r="F446" s="370" t="n"/>
      <c r="G446" s="370" t="n"/>
      <c r="H446" s="370" t="n"/>
      <c r="I446" s="370" t="n"/>
      <c r="J446" s="370" t="n"/>
      <c r="K446" s="471" t="n"/>
      <c r="L446" s="370" t="n"/>
      <c r="M446" s="370" t="n"/>
      <c r="N446" s="370" t="n"/>
    </row>
    <row r="447">
      <c r="A447" s="459" t="n"/>
      <c r="B447" s="370" t="n"/>
      <c r="C447" s="370" t="n"/>
      <c r="D447" s="370" t="n"/>
      <c r="E447" s="370" t="n"/>
      <c r="F447" s="370" t="n"/>
      <c r="G447" s="370" t="n"/>
      <c r="H447" s="370" t="n"/>
      <c r="I447" s="370" t="n"/>
      <c r="J447" s="370" t="n"/>
      <c r="K447" s="471" t="n"/>
      <c r="L447" s="370" t="n"/>
      <c r="M447" s="370" t="n"/>
      <c r="N447" s="370" t="n"/>
    </row>
    <row r="448">
      <c r="A448" s="459" t="n"/>
      <c r="B448" s="370" t="n"/>
      <c r="C448" s="370" t="n"/>
      <c r="D448" s="370" t="n"/>
      <c r="E448" s="370" t="n"/>
      <c r="F448" s="370" t="n"/>
      <c r="G448" s="370" t="n"/>
      <c r="H448" s="370" t="n"/>
      <c r="I448" s="370" t="n"/>
      <c r="J448" s="370" t="n"/>
      <c r="K448" s="471" t="n"/>
      <c r="L448" s="370" t="n"/>
      <c r="M448" s="370" t="n"/>
      <c r="N448" s="370" t="n"/>
    </row>
    <row r="449">
      <c r="A449" s="459" t="n"/>
      <c r="B449" s="370" t="n"/>
      <c r="C449" s="370" t="n"/>
      <c r="D449" s="370" t="n"/>
      <c r="E449" s="370" t="n"/>
      <c r="F449" s="370" t="n"/>
      <c r="G449" s="370" t="n"/>
      <c r="H449" s="370" t="n"/>
      <c r="I449" s="370" t="n"/>
      <c r="J449" s="370" t="n"/>
      <c r="K449" s="471" t="n"/>
      <c r="L449" s="370" t="n"/>
      <c r="M449" s="370" t="n"/>
      <c r="N449" s="370" t="n"/>
    </row>
    <row r="450">
      <c r="A450" s="459" t="n"/>
      <c r="B450" s="370" t="n"/>
      <c r="C450" s="370" t="n"/>
      <c r="D450" s="370" t="n"/>
      <c r="E450" s="370" t="n"/>
      <c r="F450" s="370" t="n"/>
      <c r="G450" s="370" t="n"/>
      <c r="H450" s="370" t="n"/>
      <c r="I450" s="370" t="n"/>
      <c r="J450" s="370" t="n"/>
      <c r="K450" s="471" t="n"/>
      <c r="L450" s="370" t="n"/>
      <c r="M450" s="370" t="n"/>
      <c r="N450" s="370" t="n"/>
    </row>
    <row r="451">
      <c r="A451" s="459" t="n"/>
      <c r="B451" s="370" t="n"/>
      <c r="C451" s="370" t="n"/>
      <c r="D451" s="370" t="n"/>
      <c r="E451" s="370" t="n"/>
      <c r="F451" s="370" t="n"/>
      <c r="G451" s="370" t="n"/>
      <c r="H451" s="370" t="n"/>
      <c r="I451" s="370" t="n"/>
      <c r="J451" s="370" t="n"/>
      <c r="K451" s="471" t="n"/>
      <c r="L451" s="370" t="n"/>
      <c r="M451" s="370" t="n"/>
      <c r="N451" s="370" t="n"/>
    </row>
    <row r="452">
      <c r="A452" s="459" t="n"/>
      <c r="B452" s="370" t="n"/>
      <c r="C452" s="370" t="n"/>
      <c r="D452" s="370" t="n"/>
      <c r="E452" s="370" t="n"/>
      <c r="F452" s="370" t="n"/>
      <c r="G452" s="370" t="n"/>
      <c r="H452" s="370" t="n"/>
      <c r="I452" s="370" t="n"/>
      <c r="J452" s="370" t="n"/>
      <c r="K452" s="471" t="n"/>
      <c r="L452" s="370" t="n"/>
      <c r="M452" s="370" t="n"/>
      <c r="N452" s="370" t="n"/>
    </row>
    <row r="453">
      <c r="A453" s="459" t="n"/>
      <c r="B453" s="370" t="n"/>
      <c r="C453" s="370" t="n"/>
      <c r="D453" s="370" t="n"/>
      <c r="E453" s="370" t="n"/>
      <c r="F453" s="370" t="n"/>
      <c r="G453" s="370" t="n"/>
      <c r="H453" s="370" t="n"/>
      <c r="I453" s="370" t="n"/>
      <c r="J453" s="370" t="n"/>
      <c r="K453" s="471" t="n"/>
      <c r="L453" s="370" t="n"/>
      <c r="M453" s="370" t="n"/>
      <c r="N453" s="370" t="n"/>
    </row>
    <row r="454">
      <c r="A454" s="459" t="n"/>
      <c r="B454" s="370" t="n"/>
      <c r="C454" s="370" t="n"/>
      <c r="D454" s="370" t="n"/>
      <c r="E454" s="370" t="n"/>
      <c r="F454" s="370" t="n"/>
      <c r="G454" s="370" t="n"/>
      <c r="H454" s="370" t="n"/>
      <c r="I454" s="370" t="n"/>
      <c r="J454" s="370" t="n"/>
      <c r="K454" s="471" t="n"/>
      <c r="L454" s="370" t="n"/>
      <c r="M454" s="370" t="n"/>
      <c r="N454" s="370" t="n"/>
    </row>
    <row r="455">
      <c r="A455" s="459" t="n"/>
      <c r="B455" s="370" t="n"/>
      <c r="C455" s="370" t="n"/>
      <c r="D455" s="370" t="n"/>
      <c r="E455" s="370" t="n"/>
      <c r="F455" s="370" t="n"/>
      <c r="G455" s="370" t="n"/>
      <c r="H455" s="370" t="n"/>
      <c r="I455" s="370" t="n"/>
      <c r="J455" s="370" t="n"/>
      <c r="K455" s="471" t="n"/>
      <c r="L455" s="370" t="n"/>
      <c r="M455" s="370" t="n"/>
      <c r="N455" s="370" t="n"/>
    </row>
    <row r="456">
      <c r="A456" s="459" t="n"/>
      <c r="B456" s="370" t="n"/>
      <c r="C456" s="370" t="n"/>
      <c r="D456" s="370" t="n"/>
      <c r="E456" s="370" t="n"/>
      <c r="F456" s="370" t="n"/>
      <c r="G456" s="370" t="n"/>
      <c r="H456" s="370" t="n"/>
      <c r="I456" s="370" t="n"/>
      <c r="J456" s="370" t="n"/>
      <c r="K456" s="471" t="n"/>
      <c r="L456" s="370" t="n"/>
      <c r="M456" s="370" t="n"/>
      <c r="N456" s="370" t="n"/>
    </row>
    <row r="457">
      <c r="A457" s="459" t="n"/>
      <c r="B457" s="370" t="n"/>
      <c r="C457" s="370" t="n"/>
      <c r="D457" s="370" t="n"/>
      <c r="E457" s="370" t="n"/>
      <c r="F457" s="370" t="n"/>
      <c r="G457" s="370" t="n"/>
      <c r="H457" s="370" t="n"/>
      <c r="I457" s="370" t="n"/>
      <c r="J457" s="370" t="n"/>
      <c r="K457" s="471" t="n"/>
      <c r="L457" s="370" t="n"/>
      <c r="M457" s="370" t="n"/>
      <c r="N457" s="370" t="n"/>
    </row>
    <row r="458">
      <c r="A458" s="459" t="n"/>
      <c r="B458" s="370" t="n"/>
      <c r="C458" s="370" t="n"/>
      <c r="D458" s="370" t="n"/>
      <c r="E458" s="370" t="n"/>
      <c r="F458" s="370" t="n"/>
      <c r="G458" s="370" t="n"/>
      <c r="H458" s="370" t="n"/>
      <c r="I458" s="370" t="n"/>
      <c r="J458" s="370" t="n"/>
      <c r="K458" s="471" t="n"/>
      <c r="L458" s="370" t="n"/>
      <c r="M458" s="370" t="n"/>
      <c r="N458" s="370" t="n"/>
    </row>
    <row r="459">
      <c r="A459" s="459" t="n"/>
      <c r="B459" s="370" t="n"/>
      <c r="C459" s="370" t="n"/>
      <c r="D459" s="370" t="n"/>
      <c r="E459" s="370" t="n"/>
      <c r="F459" s="370" t="n"/>
      <c r="G459" s="370" t="n"/>
      <c r="H459" s="370" t="n"/>
      <c r="I459" s="370" t="n"/>
      <c r="J459" s="370" t="n"/>
      <c r="K459" s="471" t="n"/>
      <c r="L459" s="370" t="n"/>
      <c r="M459" s="370" t="n"/>
      <c r="N459" s="370" t="n"/>
    </row>
    <row r="460">
      <c r="A460" s="459" t="n"/>
      <c r="B460" s="370" t="n"/>
      <c r="C460" s="370" t="n"/>
      <c r="D460" s="370" t="n"/>
      <c r="E460" s="370" t="n"/>
      <c r="F460" s="370" t="n"/>
      <c r="G460" s="370" t="n"/>
      <c r="H460" s="370" t="n"/>
      <c r="I460" s="370" t="n"/>
      <c r="J460" s="370" t="n"/>
      <c r="K460" s="471" t="n"/>
      <c r="L460" s="370" t="n"/>
      <c r="M460" s="370" t="n"/>
      <c r="N460" s="370" t="n"/>
    </row>
    <row r="461">
      <c r="A461" s="459" t="n"/>
      <c r="B461" s="370" t="n"/>
      <c r="C461" s="370" t="n"/>
      <c r="D461" s="370" t="n"/>
      <c r="E461" s="370" t="n"/>
      <c r="F461" s="370" t="n"/>
      <c r="G461" s="370" t="n"/>
      <c r="H461" s="370" t="n"/>
      <c r="I461" s="370" t="n"/>
      <c r="J461" s="370" t="n"/>
      <c r="K461" s="471" t="n"/>
      <c r="L461" s="370" t="n"/>
      <c r="M461" s="370" t="n"/>
      <c r="N461" s="370" t="n"/>
    </row>
    <row r="462">
      <c r="A462" s="459" t="n"/>
      <c r="B462" s="370" t="n"/>
      <c r="C462" s="370" t="n"/>
      <c r="D462" s="370" t="n"/>
      <c r="E462" s="370" t="n"/>
      <c r="F462" s="370" t="n"/>
      <c r="G462" s="370" t="n"/>
      <c r="H462" s="370" t="n"/>
      <c r="I462" s="370" t="n"/>
      <c r="J462" s="370" t="n"/>
      <c r="K462" s="471" t="n"/>
      <c r="L462" s="370" t="n"/>
      <c r="M462" s="370" t="n"/>
      <c r="N462" s="370" t="n"/>
    </row>
    <row r="463">
      <c r="A463" s="459" t="n"/>
      <c r="B463" s="370" t="n"/>
      <c r="C463" s="370" t="n"/>
      <c r="D463" s="370" t="n"/>
      <c r="E463" s="370" t="n"/>
      <c r="F463" s="370" t="n"/>
      <c r="G463" s="370" t="n"/>
      <c r="H463" s="370" t="n"/>
      <c r="I463" s="370" t="n"/>
      <c r="J463" s="370" t="n"/>
      <c r="K463" s="471" t="n"/>
      <c r="L463" s="370" t="n"/>
      <c r="M463" s="370" t="n"/>
      <c r="N463" s="370" t="n"/>
    </row>
    <row r="464">
      <c r="A464" s="459" t="n"/>
      <c r="B464" s="370" t="n"/>
      <c r="C464" s="370" t="n"/>
      <c r="D464" s="370" t="n"/>
      <c r="E464" s="370" t="n"/>
      <c r="F464" s="370" t="n"/>
      <c r="G464" s="370" t="n"/>
      <c r="H464" s="370" t="n"/>
      <c r="I464" s="370" t="n"/>
      <c r="J464" s="370" t="n"/>
      <c r="K464" s="471" t="n"/>
      <c r="L464" s="370" t="n"/>
      <c r="M464" s="370" t="n"/>
      <c r="N464" s="370" t="n"/>
    </row>
    <row r="465">
      <c r="A465" s="459" t="n"/>
      <c r="B465" s="370" t="n"/>
      <c r="C465" s="370" t="n"/>
      <c r="D465" s="370" t="n"/>
      <c r="E465" s="370" t="n"/>
      <c r="F465" s="370" t="n"/>
      <c r="G465" s="370" t="n"/>
      <c r="H465" s="370" t="n"/>
      <c r="I465" s="370" t="n"/>
      <c r="J465" s="370" t="n"/>
      <c r="K465" s="471" t="n"/>
      <c r="L465" s="370" t="n"/>
      <c r="M465" s="370" t="n"/>
      <c r="N465" s="370" t="n"/>
    </row>
    <row r="466">
      <c r="A466" s="459" t="n"/>
      <c r="B466" s="370" t="n"/>
      <c r="C466" s="370" t="n"/>
      <c r="D466" s="370" t="n"/>
      <c r="E466" s="370" t="n"/>
      <c r="F466" s="370" t="n"/>
      <c r="G466" s="370" t="n"/>
      <c r="H466" s="370" t="n"/>
      <c r="I466" s="370" t="n"/>
      <c r="J466" s="370" t="n"/>
      <c r="K466" s="471" t="n"/>
      <c r="L466" s="370" t="n"/>
      <c r="M466" s="370" t="n"/>
      <c r="N466" s="370" t="n"/>
    </row>
    <row r="467">
      <c r="A467" s="459" t="n"/>
      <c r="B467" s="370" t="n"/>
      <c r="C467" s="370" t="n"/>
      <c r="D467" s="370" t="n"/>
      <c r="E467" s="370" t="n"/>
      <c r="F467" s="370" t="n"/>
      <c r="G467" s="370" t="n"/>
      <c r="H467" s="370" t="n"/>
      <c r="I467" s="370" t="n"/>
      <c r="J467" s="370" t="n"/>
      <c r="K467" s="471" t="n"/>
      <c r="L467" s="370" t="n"/>
      <c r="M467" s="370" t="n"/>
      <c r="N467" s="370" t="n"/>
    </row>
    <row r="468">
      <c r="A468" s="459" t="n"/>
      <c r="B468" s="370" t="n"/>
      <c r="C468" s="370" t="n"/>
      <c r="D468" s="370" t="n"/>
      <c r="E468" s="370" t="n"/>
      <c r="F468" s="370" t="n"/>
      <c r="G468" s="370" t="n"/>
      <c r="H468" s="370" t="n"/>
      <c r="I468" s="370" t="n"/>
      <c r="J468" s="370" t="n"/>
      <c r="K468" s="471" t="n"/>
      <c r="L468" s="370" t="n"/>
      <c r="M468" s="370" t="n"/>
      <c r="N468" s="370" t="n"/>
    </row>
    <row r="469">
      <c r="A469" s="459" t="n"/>
      <c r="B469" s="370" t="n"/>
      <c r="C469" s="370" t="n"/>
      <c r="D469" s="370" t="n"/>
      <c r="E469" s="370" t="n"/>
      <c r="F469" s="370" t="n"/>
      <c r="G469" s="370" t="n"/>
      <c r="H469" s="370" t="n"/>
      <c r="I469" s="370" t="n"/>
      <c r="J469" s="370" t="n"/>
      <c r="K469" s="471" t="n"/>
      <c r="L469" s="370" t="n"/>
      <c r="M469" s="370" t="n"/>
      <c r="N469" s="370" t="n"/>
    </row>
    <row r="470">
      <c r="A470" s="459" t="n"/>
      <c r="B470" s="370" t="n"/>
      <c r="C470" s="370" t="n"/>
      <c r="D470" s="370" t="n"/>
      <c r="E470" s="370" t="n"/>
      <c r="F470" s="370" t="n"/>
      <c r="G470" s="370" t="n"/>
      <c r="H470" s="370" t="n"/>
      <c r="I470" s="370" t="n"/>
      <c r="J470" s="370" t="n"/>
      <c r="K470" s="471" t="n"/>
      <c r="L470" s="370" t="n"/>
      <c r="M470" s="370" t="n"/>
      <c r="N470" s="370" t="n"/>
    </row>
    <row r="471">
      <c r="A471" s="459" t="n"/>
      <c r="B471" s="370" t="n"/>
      <c r="C471" s="370" t="n"/>
      <c r="D471" s="370" t="n"/>
      <c r="E471" s="370" t="n"/>
      <c r="F471" s="370" t="n"/>
      <c r="G471" s="370" t="n"/>
      <c r="H471" s="370" t="n"/>
      <c r="I471" s="370" t="n"/>
      <c r="J471" s="370" t="n"/>
      <c r="K471" s="471" t="n"/>
      <c r="L471" s="370" t="n"/>
      <c r="M471" s="370" t="n"/>
      <c r="N471" s="370" t="n"/>
    </row>
    <row r="472">
      <c r="A472" s="459" t="n"/>
      <c r="B472" s="370" t="n"/>
      <c r="C472" s="370" t="n"/>
      <c r="D472" s="370" t="n"/>
      <c r="E472" s="370" t="n"/>
      <c r="F472" s="370" t="n"/>
      <c r="G472" s="370" t="n"/>
      <c r="H472" s="370" t="n"/>
      <c r="I472" s="370" t="n"/>
      <c r="J472" s="370" t="n"/>
      <c r="K472" s="471" t="n"/>
      <c r="L472" s="370" t="n"/>
      <c r="M472" s="370" t="n"/>
      <c r="N472" s="370" t="n"/>
    </row>
    <row r="473">
      <c r="A473" s="459" t="n"/>
      <c r="B473" s="370" t="n"/>
      <c r="C473" s="370" t="n"/>
      <c r="D473" s="370" t="n"/>
      <c r="E473" s="370" t="n"/>
      <c r="F473" s="370" t="n"/>
      <c r="G473" s="370" t="n"/>
      <c r="H473" s="370" t="n"/>
      <c r="I473" s="370" t="n"/>
      <c r="J473" s="370" t="n"/>
      <c r="K473" s="471" t="n"/>
      <c r="L473" s="370" t="n"/>
      <c r="M473" s="370" t="n"/>
      <c r="N473" s="370" t="n"/>
    </row>
    <row r="474">
      <c r="A474" s="459" t="n"/>
      <c r="B474" s="370" t="n"/>
      <c r="C474" s="370" t="n"/>
      <c r="D474" s="370" t="n"/>
      <c r="E474" s="370" t="n"/>
      <c r="F474" s="370" t="n"/>
      <c r="G474" s="370" t="n"/>
      <c r="H474" s="370" t="n"/>
      <c r="I474" s="370" t="n"/>
      <c r="J474" s="370" t="n"/>
      <c r="K474" s="471" t="n"/>
      <c r="L474" s="370" t="n"/>
      <c r="M474" s="370" t="n"/>
      <c r="N474" s="370" t="n"/>
    </row>
    <row r="475">
      <c r="A475" s="459" t="n"/>
      <c r="B475" s="370" t="n"/>
      <c r="C475" s="370" t="n"/>
      <c r="D475" s="370" t="n"/>
      <c r="E475" s="370" t="n"/>
      <c r="F475" s="370" t="n"/>
      <c r="G475" s="370" t="n"/>
      <c r="H475" s="370" t="n"/>
      <c r="I475" s="370" t="n"/>
      <c r="J475" s="370" t="n"/>
      <c r="K475" s="471" t="n"/>
      <c r="L475" s="370" t="n"/>
      <c r="M475" s="370" t="n"/>
      <c r="N475" s="370" t="n"/>
    </row>
    <row r="476">
      <c r="A476" s="459" t="n"/>
      <c r="B476" s="370" t="n"/>
      <c r="C476" s="370" t="n"/>
      <c r="D476" s="370" t="n"/>
      <c r="E476" s="370" t="n"/>
      <c r="F476" s="370" t="n"/>
      <c r="G476" s="370" t="n"/>
      <c r="H476" s="370" t="n"/>
      <c r="I476" s="370" t="n"/>
      <c r="J476" s="370" t="n"/>
      <c r="K476" s="471" t="n"/>
      <c r="L476" s="370" t="n"/>
      <c r="M476" s="370" t="n"/>
      <c r="N476" s="370" t="n"/>
    </row>
    <row r="477">
      <c r="A477" s="459" t="n"/>
      <c r="B477" s="370" t="n"/>
      <c r="C477" s="370" t="n"/>
      <c r="D477" s="370" t="n"/>
      <c r="E477" s="370" t="n"/>
      <c r="F477" s="370" t="n"/>
      <c r="G477" s="370" t="n"/>
      <c r="H477" s="370" t="n"/>
      <c r="I477" s="370" t="n"/>
      <c r="J477" s="370" t="n"/>
      <c r="K477" s="471" t="n"/>
      <c r="L477" s="370" t="n"/>
      <c r="M477" s="370" t="n"/>
      <c r="N477" s="370" t="n"/>
    </row>
    <row r="478">
      <c r="A478" s="459" t="n"/>
      <c r="B478" s="370" t="n"/>
      <c r="C478" s="370" t="n"/>
      <c r="D478" s="370" t="n"/>
      <c r="E478" s="370" t="n"/>
      <c r="F478" s="370" t="n"/>
      <c r="G478" s="370" t="n"/>
      <c r="H478" s="370" t="n"/>
      <c r="I478" s="370" t="n"/>
      <c r="J478" s="370" t="n"/>
      <c r="K478" s="471" t="n"/>
      <c r="L478" s="370" t="n"/>
      <c r="M478" s="370" t="n"/>
      <c r="N478" s="370" t="n"/>
    </row>
    <row r="479">
      <c r="A479" s="459" t="n"/>
      <c r="B479" s="370" t="n"/>
      <c r="C479" s="370" t="n"/>
      <c r="D479" s="370" t="n"/>
      <c r="E479" s="370" t="n"/>
      <c r="F479" s="370" t="n"/>
      <c r="G479" s="370" t="n"/>
      <c r="H479" s="370" t="n"/>
      <c r="I479" s="370" t="n"/>
      <c r="J479" s="370" t="n"/>
      <c r="K479" s="471" t="n"/>
      <c r="L479" s="370" t="n"/>
      <c r="M479" s="370" t="n"/>
      <c r="N479" s="370" t="n"/>
    </row>
    <row r="480">
      <c r="A480" s="459" t="n"/>
      <c r="B480" s="370" t="n"/>
      <c r="C480" s="370" t="n"/>
      <c r="D480" s="370" t="n"/>
      <c r="E480" s="370" t="n"/>
      <c r="F480" s="370" t="n"/>
      <c r="G480" s="370" t="n"/>
      <c r="H480" s="370" t="n"/>
      <c r="I480" s="370" t="n"/>
      <c r="J480" s="370" t="n"/>
      <c r="K480" s="471" t="n"/>
      <c r="L480" s="370" t="n"/>
      <c r="M480" s="370" t="n"/>
      <c r="N480" s="370" t="n"/>
    </row>
    <row r="481">
      <c r="A481" s="459" t="n"/>
      <c r="B481" s="370" t="n"/>
      <c r="C481" s="370" t="n"/>
      <c r="D481" s="370" t="n"/>
      <c r="E481" s="370" t="n"/>
      <c r="F481" s="370" t="n"/>
      <c r="G481" s="370" t="n"/>
      <c r="H481" s="370" t="n"/>
      <c r="I481" s="370" t="n"/>
      <c r="J481" s="370" t="n"/>
      <c r="K481" s="471" t="n"/>
      <c r="L481" s="370" t="n"/>
      <c r="M481" s="370" t="n"/>
      <c r="N481" s="370" t="n"/>
    </row>
    <row r="482">
      <c r="A482" s="459" t="n"/>
      <c r="B482" s="370" t="n"/>
      <c r="C482" s="370" t="n"/>
      <c r="D482" s="370" t="n"/>
      <c r="E482" s="370" t="n"/>
      <c r="F482" s="370" t="n"/>
      <c r="G482" s="370" t="n"/>
      <c r="H482" s="370" t="n"/>
      <c r="I482" s="370" t="n"/>
      <c r="J482" s="370" t="n"/>
      <c r="K482" s="471" t="n"/>
      <c r="L482" s="370" t="n"/>
      <c r="M482" s="370" t="n"/>
      <c r="N482" s="370" t="n"/>
    </row>
    <row r="483">
      <c r="A483" s="459" t="n"/>
      <c r="B483" s="370" t="n"/>
      <c r="C483" s="370" t="n"/>
      <c r="D483" s="370" t="n"/>
      <c r="E483" s="370" t="n"/>
      <c r="F483" s="370" t="n"/>
      <c r="G483" s="370" t="n"/>
      <c r="H483" s="370" t="n"/>
      <c r="I483" s="370" t="n"/>
      <c r="J483" s="370" t="n"/>
      <c r="K483" s="471" t="n"/>
      <c r="L483" s="370" t="n"/>
      <c r="M483" s="370" t="n"/>
      <c r="N483" s="370" t="n"/>
    </row>
    <row r="484">
      <c r="A484" s="459" t="n"/>
      <c r="B484" s="370" t="n"/>
      <c r="C484" s="370" t="n"/>
      <c r="D484" s="370" t="n"/>
      <c r="E484" s="370" t="n"/>
      <c r="F484" s="370" t="n"/>
      <c r="G484" s="370" t="n"/>
      <c r="H484" s="370" t="n"/>
      <c r="I484" s="370" t="n"/>
      <c r="J484" s="370" t="n"/>
      <c r="K484" s="471" t="n"/>
      <c r="L484" s="370" t="n"/>
      <c r="M484" s="370" t="n"/>
      <c r="N484" s="370" t="n"/>
    </row>
    <row r="485">
      <c r="A485" s="459" t="n"/>
      <c r="B485" s="370" t="n"/>
      <c r="C485" s="370" t="n"/>
      <c r="D485" s="370" t="n"/>
      <c r="E485" s="370" t="n"/>
      <c r="F485" s="370" t="n"/>
      <c r="G485" s="370" t="n"/>
      <c r="H485" s="370" t="n"/>
      <c r="I485" s="370" t="n"/>
      <c r="J485" s="370" t="n"/>
      <c r="K485" s="471" t="n"/>
      <c r="L485" s="370" t="n"/>
      <c r="M485" s="370" t="n"/>
      <c r="N485" s="370" t="n"/>
    </row>
    <row r="486">
      <c r="A486" s="459" t="n"/>
      <c r="B486" s="370" t="n"/>
      <c r="C486" s="370" t="n"/>
      <c r="D486" s="370" t="n"/>
      <c r="E486" s="370" t="n"/>
      <c r="F486" s="370" t="n"/>
      <c r="G486" s="370" t="n"/>
      <c r="H486" s="370" t="n"/>
      <c r="I486" s="370" t="n"/>
      <c r="J486" s="370" t="n"/>
      <c r="K486" s="471" t="n"/>
      <c r="L486" s="370" t="n"/>
      <c r="M486" s="370" t="n"/>
      <c r="N486" s="370" t="n"/>
    </row>
    <row r="487">
      <c r="A487" s="459" t="n"/>
      <c r="B487" s="370" t="n"/>
      <c r="C487" s="370" t="n"/>
      <c r="D487" s="370" t="n"/>
      <c r="E487" s="370" t="n"/>
      <c r="F487" s="370" t="n"/>
      <c r="G487" s="370" t="n"/>
      <c r="H487" s="370" t="n"/>
      <c r="I487" s="370" t="n"/>
      <c r="J487" s="370" t="n"/>
      <c r="K487" s="471" t="n"/>
      <c r="L487" s="370" t="n"/>
      <c r="M487" s="370" t="n"/>
      <c r="N487" s="370" t="n"/>
    </row>
    <row r="488">
      <c r="A488" s="459" t="n"/>
      <c r="B488" s="370" t="n"/>
      <c r="C488" s="370" t="n"/>
      <c r="D488" s="370" t="n"/>
      <c r="E488" s="370" t="n"/>
      <c r="F488" s="370" t="n"/>
      <c r="G488" s="370" t="n"/>
      <c r="H488" s="370" t="n"/>
      <c r="I488" s="370" t="n"/>
      <c r="J488" s="370" t="n"/>
      <c r="K488" s="471" t="n"/>
      <c r="L488" s="370" t="n"/>
      <c r="M488" s="370" t="n"/>
      <c r="N488" s="370" t="n"/>
    </row>
    <row r="489">
      <c r="A489" s="459" t="n"/>
      <c r="B489" s="370" t="n"/>
      <c r="C489" s="370" t="n"/>
      <c r="D489" s="370" t="n"/>
      <c r="E489" s="370" t="n"/>
      <c r="F489" s="370" t="n"/>
      <c r="G489" s="370" t="n"/>
      <c r="H489" s="370" t="n"/>
      <c r="I489" s="370" t="n"/>
      <c r="J489" s="370" t="n"/>
      <c r="K489" s="471" t="n"/>
      <c r="L489" s="370" t="n"/>
      <c r="M489" s="370" t="n"/>
      <c r="N489" s="370" t="n"/>
    </row>
    <row r="490">
      <c r="A490" s="459" t="n"/>
      <c r="B490" s="370" t="n"/>
      <c r="C490" s="370" t="n"/>
      <c r="D490" s="370" t="n"/>
      <c r="E490" s="370" t="n"/>
      <c r="F490" s="370" t="n"/>
      <c r="G490" s="370" t="n"/>
      <c r="H490" s="370" t="n"/>
      <c r="I490" s="370" t="n"/>
      <c r="J490" s="370" t="n"/>
      <c r="K490" s="471" t="n"/>
      <c r="L490" s="370" t="n"/>
      <c r="M490" s="370" t="n"/>
      <c r="N490" s="370" t="n"/>
    </row>
    <row r="491">
      <c r="A491" s="459" t="n"/>
      <c r="B491" s="370" t="n"/>
      <c r="C491" s="370" t="n"/>
      <c r="D491" s="370" t="n"/>
      <c r="E491" s="370" t="n"/>
      <c r="F491" s="370" t="n"/>
      <c r="G491" s="370" t="n"/>
      <c r="H491" s="370" t="n"/>
      <c r="I491" s="370" t="n"/>
      <c r="J491" s="370" t="n"/>
      <c r="K491" s="471" t="n"/>
      <c r="L491" s="370" t="n"/>
      <c r="M491" s="370" t="n"/>
      <c r="N491" s="370" t="n"/>
    </row>
    <row r="492">
      <c r="A492" s="459" t="n"/>
      <c r="B492" s="370" t="n"/>
      <c r="C492" s="370" t="n"/>
      <c r="D492" s="370" t="n"/>
      <c r="E492" s="370" t="n"/>
      <c r="F492" s="370" t="n"/>
      <c r="G492" s="370" t="n"/>
      <c r="H492" s="370" t="n"/>
      <c r="I492" s="370" t="n"/>
      <c r="J492" s="370" t="n"/>
      <c r="K492" s="471" t="n"/>
      <c r="L492" s="370" t="n"/>
      <c r="M492" s="370" t="n"/>
      <c r="N492" s="370" t="n"/>
    </row>
    <row r="493">
      <c r="A493" s="459" t="n"/>
      <c r="B493" s="370" t="n"/>
      <c r="C493" s="370" t="n"/>
      <c r="D493" s="370" t="n"/>
      <c r="E493" s="370" t="n"/>
      <c r="F493" s="370" t="n"/>
      <c r="G493" s="370" t="n"/>
      <c r="H493" s="370" t="n"/>
      <c r="I493" s="370" t="n"/>
      <c r="J493" s="370" t="n"/>
      <c r="K493" s="471" t="n"/>
      <c r="L493" s="370" t="n"/>
      <c r="M493" s="370" t="n"/>
      <c r="N493" s="370" t="n"/>
    </row>
    <row r="494">
      <c r="A494" s="459" t="n"/>
      <c r="B494" s="370" t="n"/>
      <c r="C494" s="370" t="n"/>
      <c r="D494" s="370" t="n"/>
      <c r="E494" s="370" t="n"/>
      <c r="F494" s="370" t="n"/>
      <c r="G494" s="370" t="n"/>
      <c r="H494" s="370" t="n"/>
      <c r="I494" s="370" t="n"/>
      <c r="J494" s="370" t="n"/>
      <c r="K494" s="471" t="n"/>
      <c r="L494" s="370" t="n"/>
      <c r="M494" s="370" t="n"/>
      <c r="N494" s="370" t="n"/>
    </row>
    <row r="495">
      <c r="A495" s="459" t="n"/>
      <c r="B495" s="370" t="n"/>
      <c r="C495" s="370" t="n"/>
      <c r="D495" s="370" t="n"/>
      <c r="E495" s="370" t="n"/>
      <c r="F495" s="370" t="n"/>
      <c r="G495" s="370" t="n"/>
      <c r="H495" s="370" t="n"/>
      <c r="I495" s="370" t="n"/>
      <c r="J495" s="370" t="n"/>
      <c r="K495" s="471" t="n"/>
      <c r="L495" s="370" t="n"/>
      <c r="M495" s="370" t="n"/>
      <c r="N495" s="370" t="n"/>
    </row>
    <row r="496">
      <c r="A496" s="459" t="n"/>
      <c r="B496" s="370" t="n"/>
      <c r="C496" s="370" t="n"/>
      <c r="D496" s="370" t="n"/>
      <c r="E496" s="370" t="n"/>
      <c r="F496" s="370" t="n"/>
      <c r="G496" s="370" t="n"/>
      <c r="H496" s="370" t="n"/>
      <c r="I496" s="370" t="n"/>
      <c r="J496" s="370" t="n"/>
      <c r="K496" s="471" t="n"/>
      <c r="L496" s="370" t="n"/>
      <c r="M496" s="370" t="n"/>
      <c r="N496" s="370" t="n"/>
    </row>
    <row r="497">
      <c r="A497" s="459" t="n"/>
      <c r="B497" s="370" t="n"/>
      <c r="C497" s="370" t="n"/>
      <c r="D497" s="370" t="n"/>
      <c r="E497" s="370" t="n"/>
      <c r="F497" s="370" t="n"/>
      <c r="G497" s="370" t="n"/>
      <c r="H497" s="370" t="n"/>
      <c r="I497" s="370" t="n"/>
      <c r="J497" s="370" t="n"/>
      <c r="K497" s="471" t="n"/>
      <c r="L497" s="370" t="n"/>
      <c r="M497" s="370" t="n"/>
      <c r="N497" s="370" t="n"/>
    </row>
    <row r="498">
      <c r="A498" s="459" t="n"/>
      <c r="B498" s="370" t="n"/>
      <c r="C498" s="370" t="n"/>
      <c r="D498" s="370" t="n"/>
      <c r="E498" s="370" t="n"/>
      <c r="F498" s="370" t="n"/>
      <c r="G498" s="370" t="n"/>
      <c r="H498" s="370" t="n"/>
      <c r="I498" s="370" t="n"/>
      <c r="J498" s="370" t="n"/>
      <c r="K498" s="471" t="n"/>
      <c r="L498" s="370" t="n"/>
      <c r="M498" s="370" t="n"/>
      <c r="N498" s="370" t="n"/>
    </row>
    <row r="499">
      <c r="A499" s="459" t="n"/>
      <c r="B499" s="370" t="n"/>
      <c r="C499" s="370" t="n"/>
      <c r="D499" s="370" t="n"/>
      <c r="E499" s="370" t="n"/>
      <c r="F499" s="370" t="n"/>
      <c r="G499" s="370" t="n"/>
      <c r="H499" s="370" t="n"/>
      <c r="I499" s="370" t="n"/>
      <c r="J499" s="370" t="n"/>
      <c r="K499" s="471" t="n"/>
      <c r="L499" s="370" t="n"/>
      <c r="M499" s="370" t="n"/>
      <c r="N499" s="370" t="n"/>
    </row>
    <row r="500">
      <c r="A500" s="459" t="n"/>
      <c r="B500" s="370" t="n"/>
      <c r="C500" s="370" t="n"/>
      <c r="D500" s="370" t="n"/>
      <c r="E500" s="370" t="n"/>
      <c r="F500" s="370" t="n"/>
      <c r="G500" s="370" t="n"/>
      <c r="H500" s="370" t="n"/>
      <c r="I500" s="370" t="n"/>
      <c r="J500" s="370" t="n"/>
      <c r="K500" s="471" t="n"/>
      <c r="L500" s="370" t="n"/>
      <c r="M500" s="370" t="n"/>
      <c r="N500" s="370" t="n"/>
    </row>
    <row r="501">
      <c r="A501" s="459" t="n"/>
      <c r="B501" s="370" t="n"/>
      <c r="C501" s="370" t="n"/>
      <c r="D501" s="370" t="n"/>
      <c r="E501" s="370" t="n"/>
      <c r="F501" s="370" t="n"/>
      <c r="G501" s="370" t="n"/>
      <c r="H501" s="370" t="n"/>
      <c r="I501" s="370" t="n"/>
      <c r="J501" s="370" t="n"/>
      <c r="K501" s="471" t="n"/>
      <c r="L501" s="370" t="n"/>
      <c r="M501" s="370" t="n"/>
      <c r="N501" s="370" t="n"/>
    </row>
    <row r="502">
      <c r="A502" s="459" t="n"/>
      <c r="B502" s="370" t="n"/>
      <c r="C502" s="370" t="n"/>
      <c r="D502" s="370" t="n"/>
      <c r="E502" s="370" t="n"/>
      <c r="F502" s="370" t="n"/>
      <c r="G502" s="370" t="n"/>
      <c r="H502" s="370" t="n"/>
      <c r="I502" s="370" t="n"/>
      <c r="J502" s="370" t="n"/>
      <c r="K502" s="471" t="n"/>
      <c r="L502" s="370" t="n"/>
      <c r="M502" s="370" t="n"/>
      <c r="N502" s="370" t="n"/>
    </row>
    <row r="503">
      <c r="A503" s="459" t="n"/>
      <c r="B503" s="370" t="n"/>
      <c r="C503" s="370" t="n"/>
      <c r="D503" s="370" t="n"/>
      <c r="E503" s="370" t="n"/>
      <c r="F503" s="370" t="n"/>
      <c r="G503" s="370" t="n"/>
      <c r="H503" s="370" t="n"/>
      <c r="I503" s="370" t="n"/>
      <c r="J503" s="370" t="n"/>
      <c r="K503" s="471" t="n"/>
      <c r="L503" s="370" t="n"/>
      <c r="M503" s="370" t="n"/>
      <c r="N503" s="370" t="n"/>
    </row>
    <row r="504">
      <c r="A504" s="459" t="n"/>
      <c r="B504" s="370" t="n"/>
      <c r="C504" s="370" t="n"/>
      <c r="D504" s="370" t="n"/>
      <c r="E504" s="370" t="n"/>
      <c r="F504" s="370" t="n"/>
      <c r="G504" s="370" t="n"/>
      <c r="H504" s="370" t="n"/>
      <c r="I504" s="370" t="n"/>
      <c r="J504" s="370" t="n"/>
      <c r="K504" s="471" t="n"/>
      <c r="L504" s="370" t="n"/>
      <c r="M504" s="370" t="n"/>
      <c r="N504" s="370" t="n"/>
    </row>
    <row r="505">
      <c r="A505" s="459" t="n"/>
      <c r="B505" s="370" t="n"/>
      <c r="C505" s="370" t="n"/>
      <c r="D505" s="370" t="n"/>
      <c r="E505" s="370" t="n"/>
      <c r="F505" s="370" t="n"/>
      <c r="G505" s="370" t="n"/>
      <c r="H505" s="370" t="n"/>
      <c r="I505" s="370" t="n"/>
      <c r="J505" s="370" t="n"/>
      <c r="K505" s="471" t="n"/>
      <c r="L505" s="370" t="n"/>
      <c r="M505" s="370" t="n"/>
      <c r="N505" s="370" t="n"/>
    </row>
    <row r="506">
      <c r="A506" s="459" t="n"/>
      <c r="B506" s="370" t="n"/>
      <c r="C506" s="370" t="n"/>
      <c r="D506" s="370" t="n"/>
      <c r="E506" s="370" t="n"/>
      <c r="F506" s="370" t="n"/>
      <c r="G506" s="370" t="n"/>
      <c r="H506" s="370" t="n"/>
      <c r="I506" s="370" t="n"/>
      <c r="J506" s="370" t="n"/>
      <c r="K506" s="471" t="n"/>
      <c r="L506" s="370" t="n"/>
      <c r="M506" s="370" t="n"/>
      <c r="N506" s="370" t="n"/>
    </row>
    <row r="507">
      <c r="A507" s="459" t="n"/>
      <c r="B507" s="370" t="n"/>
      <c r="C507" s="370" t="n"/>
      <c r="D507" s="370" t="n"/>
      <c r="E507" s="370" t="n"/>
      <c r="F507" s="370" t="n"/>
      <c r="G507" s="370" t="n"/>
      <c r="H507" s="370" t="n"/>
      <c r="I507" s="370" t="n"/>
      <c r="J507" s="370" t="n"/>
      <c r="K507" s="471" t="n"/>
      <c r="L507" s="370" t="n"/>
      <c r="M507" s="370" t="n"/>
      <c r="N507" s="370" t="n"/>
    </row>
    <row r="508">
      <c r="A508" s="459" t="n"/>
      <c r="B508" s="370" t="n"/>
      <c r="C508" s="370" t="n"/>
      <c r="D508" s="370" t="n"/>
      <c r="E508" s="370" t="n"/>
      <c r="F508" s="370" t="n"/>
      <c r="G508" s="370" t="n"/>
      <c r="H508" s="370" t="n"/>
      <c r="I508" s="370" t="n"/>
      <c r="J508" s="370" t="n"/>
      <c r="K508" s="471" t="n"/>
      <c r="L508" s="370" t="n"/>
      <c r="M508" s="370" t="n"/>
      <c r="N508" s="370" t="n"/>
    </row>
    <row r="509">
      <c r="A509" s="459" t="n"/>
      <c r="B509" s="370" t="n"/>
      <c r="C509" s="370" t="n"/>
      <c r="D509" s="370" t="n"/>
      <c r="E509" s="370" t="n"/>
      <c r="F509" s="370" t="n"/>
      <c r="G509" s="370" t="n"/>
      <c r="H509" s="370" t="n"/>
      <c r="I509" s="370" t="n"/>
      <c r="J509" s="370" t="n"/>
      <c r="K509" s="471" t="n"/>
      <c r="L509" s="370" t="n"/>
      <c r="M509" s="370" t="n"/>
      <c r="N509" s="370" t="n"/>
    </row>
    <row r="510">
      <c r="A510" s="459" t="n"/>
      <c r="B510" s="370" t="n"/>
      <c r="C510" s="370" t="n"/>
      <c r="D510" s="370" t="n"/>
      <c r="E510" s="370" t="n"/>
      <c r="F510" s="370" t="n"/>
      <c r="G510" s="370" t="n"/>
      <c r="H510" s="370" t="n"/>
      <c r="I510" s="370" t="n"/>
      <c r="J510" s="370" t="n"/>
      <c r="K510" s="471" t="n"/>
      <c r="L510" s="370" t="n"/>
      <c r="M510" s="370" t="n"/>
      <c r="N510" s="370" t="n"/>
    </row>
    <row r="511">
      <c r="A511" s="459" t="n"/>
      <c r="B511" s="370" t="n"/>
      <c r="C511" s="370" t="n"/>
      <c r="D511" s="370" t="n"/>
      <c r="E511" s="370" t="n"/>
      <c r="F511" s="370" t="n"/>
      <c r="G511" s="370" t="n"/>
      <c r="H511" s="370" t="n"/>
      <c r="I511" s="370" t="n"/>
      <c r="J511" s="370" t="n"/>
      <c r="K511" s="471" t="n"/>
      <c r="L511" s="370" t="n"/>
      <c r="M511" s="370" t="n"/>
      <c r="N511" s="370" t="n"/>
    </row>
    <row r="512">
      <c r="A512" s="459" t="n"/>
      <c r="B512" s="370" t="n"/>
      <c r="C512" s="370" t="n"/>
      <c r="D512" s="370" t="n"/>
      <c r="E512" s="370" t="n"/>
      <c r="F512" s="370" t="n"/>
      <c r="G512" s="370" t="n"/>
      <c r="H512" s="370" t="n"/>
      <c r="I512" s="370" t="n"/>
      <c r="J512" s="370" t="n"/>
      <c r="K512" s="471" t="n"/>
      <c r="L512" s="370" t="n"/>
      <c r="M512" s="370" t="n"/>
      <c r="N512" s="370" t="n"/>
    </row>
    <row r="513">
      <c r="A513" s="459" t="n"/>
      <c r="B513" s="370" t="n"/>
      <c r="C513" s="370" t="n"/>
      <c r="D513" s="370" t="n"/>
      <c r="E513" s="370" t="n"/>
      <c r="F513" s="370" t="n"/>
      <c r="G513" s="370" t="n"/>
      <c r="H513" s="370" t="n"/>
      <c r="I513" s="370" t="n"/>
      <c r="J513" s="370" t="n"/>
      <c r="K513" s="471" t="n"/>
      <c r="L513" s="370" t="n"/>
      <c r="M513" s="370" t="n"/>
      <c r="N513" s="370" t="n"/>
    </row>
    <row r="514">
      <c r="A514" s="459" t="n"/>
      <c r="B514" s="370" t="n"/>
      <c r="C514" s="370" t="n"/>
      <c r="D514" s="370" t="n"/>
      <c r="E514" s="370" t="n"/>
      <c r="F514" s="370" t="n"/>
      <c r="G514" s="370" t="n"/>
      <c r="H514" s="370" t="n"/>
      <c r="I514" s="370" t="n"/>
      <c r="J514" s="370" t="n"/>
      <c r="K514" s="471" t="n"/>
      <c r="L514" s="370" t="n"/>
      <c r="M514" s="370" t="n"/>
      <c r="N514" s="370" t="n"/>
    </row>
    <row r="515">
      <c r="A515" s="459" t="n"/>
      <c r="B515" s="370" t="n"/>
      <c r="C515" s="370" t="n"/>
      <c r="D515" s="370" t="n"/>
      <c r="E515" s="370" t="n"/>
      <c r="F515" s="370" t="n"/>
      <c r="G515" s="370" t="n"/>
      <c r="H515" s="370" t="n"/>
      <c r="I515" s="370" t="n"/>
      <c r="J515" s="370" t="n"/>
      <c r="K515" s="471" t="n"/>
      <c r="L515" s="370" t="n"/>
      <c r="M515" s="370" t="n"/>
      <c r="N515" s="370" t="n"/>
    </row>
    <row r="516">
      <c r="A516" s="459" t="n"/>
      <c r="B516" s="370" t="n"/>
      <c r="C516" s="370" t="n"/>
      <c r="D516" s="370" t="n"/>
      <c r="E516" s="370" t="n"/>
      <c r="F516" s="370" t="n"/>
      <c r="G516" s="370" t="n"/>
      <c r="H516" s="370" t="n"/>
      <c r="I516" s="370" t="n"/>
      <c r="J516" s="370" t="n"/>
      <c r="K516" s="471" t="n"/>
      <c r="L516" s="370" t="n"/>
      <c r="M516" s="370" t="n"/>
      <c r="N516" s="370" t="n"/>
    </row>
    <row r="517">
      <c r="A517" s="459" t="n"/>
      <c r="B517" s="370" t="n"/>
      <c r="C517" s="370" t="n"/>
      <c r="D517" s="370" t="n"/>
      <c r="E517" s="370" t="n"/>
      <c r="F517" s="370" t="n"/>
      <c r="G517" s="370" t="n"/>
      <c r="H517" s="370" t="n"/>
      <c r="I517" s="370" t="n"/>
      <c r="J517" s="370" t="n"/>
      <c r="K517" s="471" t="n"/>
      <c r="L517" s="370" t="n"/>
      <c r="M517" s="370" t="n"/>
      <c r="N517" s="370" t="n"/>
    </row>
    <row r="518">
      <c r="A518" s="459" t="n"/>
      <c r="B518" s="370" t="n"/>
      <c r="C518" s="370" t="n"/>
      <c r="D518" s="370" t="n"/>
      <c r="E518" s="370" t="n"/>
      <c r="F518" s="370" t="n"/>
      <c r="G518" s="370" t="n"/>
      <c r="H518" s="370" t="n"/>
      <c r="I518" s="370" t="n"/>
      <c r="J518" s="370" t="n"/>
      <c r="K518" s="471" t="n"/>
      <c r="L518" s="370" t="n"/>
      <c r="M518" s="370" t="n"/>
      <c r="N518" s="370" t="n"/>
    </row>
    <row r="519">
      <c r="A519" s="459" t="n"/>
      <c r="B519" s="370" t="n"/>
      <c r="C519" s="370" t="n"/>
      <c r="D519" s="370" t="n"/>
      <c r="E519" s="370" t="n"/>
      <c r="F519" s="370" t="n"/>
      <c r="G519" s="370" t="n"/>
      <c r="H519" s="370" t="n"/>
      <c r="I519" s="370" t="n"/>
      <c r="J519" s="370" t="n"/>
      <c r="K519" s="471" t="n"/>
      <c r="L519" s="370" t="n"/>
      <c r="M519" s="370" t="n"/>
      <c r="N519" s="370" t="n"/>
    </row>
    <row r="520">
      <c r="A520" s="459" t="n"/>
      <c r="B520" s="370" t="n"/>
      <c r="C520" s="370" t="n"/>
      <c r="D520" s="370" t="n"/>
      <c r="E520" s="370" t="n"/>
      <c r="F520" s="370" t="n"/>
      <c r="G520" s="370" t="n"/>
      <c r="H520" s="370" t="n"/>
      <c r="I520" s="370" t="n"/>
      <c r="J520" s="370" t="n"/>
      <c r="K520" s="471" t="n"/>
      <c r="L520" s="370" t="n"/>
      <c r="M520" s="370" t="n"/>
      <c r="N520" s="370" t="n"/>
    </row>
    <row r="521">
      <c r="A521" s="459" t="n"/>
      <c r="B521" s="370" t="n"/>
      <c r="C521" s="370" t="n"/>
      <c r="D521" s="370" t="n"/>
      <c r="E521" s="370" t="n"/>
      <c r="F521" s="370" t="n"/>
      <c r="G521" s="370" t="n"/>
      <c r="H521" s="370" t="n"/>
      <c r="I521" s="370" t="n"/>
      <c r="J521" s="370" t="n"/>
      <c r="K521" s="471" t="n"/>
      <c r="L521" s="370" t="n"/>
      <c r="M521" s="370" t="n"/>
      <c r="N521" s="370" t="n"/>
    </row>
    <row r="522">
      <c r="A522" s="459" t="n"/>
      <c r="B522" s="370" t="n"/>
      <c r="C522" s="370" t="n"/>
      <c r="D522" s="370" t="n"/>
      <c r="E522" s="370" t="n"/>
      <c r="F522" s="370" t="n"/>
      <c r="G522" s="370" t="n"/>
      <c r="H522" s="370" t="n"/>
      <c r="I522" s="370" t="n"/>
      <c r="J522" s="370" t="n"/>
      <c r="K522" s="471" t="n"/>
      <c r="L522" s="370" t="n"/>
      <c r="M522" s="370" t="n"/>
      <c r="N522" s="370" t="n"/>
    </row>
    <row r="523">
      <c r="A523" s="459" t="n"/>
      <c r="B523" s="370" t="n"/>
      <c r="C523" s="370" t="n"/>
      <c r="D523" s="370" t="n"/>
      <c r="E523" s="370" t="n"/>
      <c r="F523" s="370" t="n"/>
      <c r="G523" s="370" t="n"/>
      <c r="H523" s="370" t="n"/>
      <c r="I523" s="370" t="n"/>
      <c r="J523" s="370" t="n"/>
      <c r="K523" s="471" t="n"/>
      <c r="L523" s="370" t="n"/>
      <c r="M523" s="370" t="n"/>
      <c r="N523" s="370" t="n"/>
    </row>
    <row r="524">
      <c r="A524" s="459" t="n"/>
      <c r="B524" s="370" t="n"/>
      <c r="C524" s="370" t="n"/>
      <c r="D524" s="370" t="n"/>
      <c r="E524" s="370" t="n"/>
      <c r="F524" s="370" t="n"/>
      <c r="G524" s="370" t="n"/>
      <c r="H524" s="370" t="n"/>
      <c r="I524" s="370" t="n"/>
      <c r="J524" s="370" t="n"/>
      <c r="K524" s="471" t="n"/>
      <c r="L524" s="370" t="n"/>
      <c r="M524" s="370" t="n"/>
      <c r="N524" s="370" t="n"/>
    </row>
    <row r="525">
      <c r="A525" s="459" t="n"/>
      <c r="B525" s="370" t="n"/>
      <c r="C525" s="370" t="n"/>
      <c r="D525" s="370" t="n"/>
      <c r="E525" s="370" t="n"/>
      <c r="F525" s="370" t="n"/>
      <c r="G525" s="370" t="n"/>
      <c r="H525" s="370" t="n"/>
      <c r="I525" s="370" t="n"/>
      <c r="J525" s="370" t="n"/>
      <c r="K525" s="471" t="n"/>
      <c r="L525" s="370" t="n"/>
      <c r="M525" s="370" t="n"/>
      <c r="N525" s="370" t="n"/>
    </row>
    <row r="526">
      <c r="A526" s="459" t="n"/>
      <c r="B526" s="370" t="n"/>
      <c r="C526" s="370" t="n"/>
      <c r="D526" s="370" t="n"/>
      <c r="E526" s="370" t="n"/>
      <c r="F526" s="370" t="n"/>
      <c r="G526" s="370" t="n"/>
      <c r="H526" s="370" t="n"/>
      <c r="I526" s="370" t="n"/>
      <c r="J526" s="370" t="n"/>
      <c r="K526" s="471" t="n"/>
      <c r="L526" s="370" t="n"/>
      <c r="M526" s="370" t="n"/>
      <c r="N526" s="370" t="n"/>
    </row>
    <row r="527">
      <c r="A527" s="459" t="n"/>
      <c r="B527" s="370" t="n"/>
      <c r="C527" s="370" t="n"/>
      <c r="D527" s="370" t="n"/>
      <c r="E527" s="370" t="n"/>
      <c r="F527" s="370" t="n"/>
      <c r="G527" s="370" t="n"/>
      <c r="H527" s="370" t="n"/>
      <c r="I527" s="370" t="n"/>
      <c r="J527" s="370" t="n"/>
      <c r="K527" s="471" t="n"/>
      <c r="L527" s="370" t="n"/>
      <c r="M527" s="370" t="n"/>
      <c r="N527" s="370" t="n"/>
    </row>
    <row r="528">
      <c r="A528" s="459" t="n"/>
      <c r="B528" s="370" t="n"/>
      <c r="C528" s="370" t="n"/>
      <c r="D528" s="370" t="n"/>
      <c r="E528" s="370" t="n"/>
      <c r="F528" s="370" t="n"/>
      <c r="G528" s="370" t="n"/>
      <c r="H528" s="370" t="n"/>
      <c r="I528" s="370" t="n"/>
      <c r="J528" s="370" t="n"/>
      <c r="K528" s="471" t="n"/>
      <c r="L528" s="370" t="n"/>
      <c r="M528" s="370" t="n"/>
      <c r="N528" s="370" t="n"/>
    </row>
    <row r="529">
      <c r="A529" s="459" t="n"/>
      <c r="B529" s="370" t="n"/>
      <c r="C529" s="370" t="n"/>
      <c r="D529" s="370" t="n"/>
      <c r="E529" s="370" t="n"/>
      <c r="F529" s="370" t="n"/>
      <c r="G529" s="370" t="n"/>
      <c r="H529" s="370" t="n"/>
      <c r="I529" s="370" t="n"/>
      <c r="J529" s="370" t="n"/>
      <c r="K529" s="471" t="n"/>
      <c r="L529" s="370" t="n"/>
      <c r="M529" s="370" t="n"/>
      <c r="N529" s="370" t="n"/>
    </row>
    <row r="530">
      <c r="A530" s="459" t="n"/>
      <c r="B530" s="370" t="n"/>
      <c r="C530" s="370" t="n"/>
      <c r="D530" s="370" t="n"/>
      <c r="E530" s="370" t="n"/>
      <c r="F530" s="370" t="n"/>
      <c r="G530" s="370" t="n"/>
      <c r="H530" s="370" t="n"/>
      <c r="I530" s="370" t="n"/>
      <c r="J530" s="370" t="n"/>
      <c r="K530" s="471" t="n"/>
      <c r="L530" s="370" t="n"/>
      <c r="M530" s="370" t="n"/>
      <c r="N530" s="370" t="n"/>
    </row>
    <row r="531">
      <c r="A531" s="459" t="n"/>
      <c r="B531" s="370" t="n"/>
      <c r="C531" s="370" t="n"/>
      <c r="D531" s="370" t="n"/>
      <c r="E531" s="370" t="n"/>
      <c r="F531" s="370" t="n"/>
      <c r="G531" s="370" t="n"/>
      <c r="H531" s="370" t="n"/>
      <c r="I531" s="370" t="n"/>
      <c r="J531" s="370" t="n"/>
      <c r="K531" s="471" t="n"/>
      <c r="L531" s="370" t="n"/>
      <c r="M531" s="370" t="n"/>
      <c r="N531" s="370" t="n"/>
    </row>
    <row r="532">
      <c r="A532" s="459" t="n"/>
      <c r="B532" s="370" t="n"/>
      <c r="C532" s="370" t="n"/>
      <c r="D532" s="370" t="n"/>
      <c r="E532" s="370" t="n"/>
      <c r="F532" s="370" t="n"/>
      <c r="G532" s="370" t="n"/>
      <c r="H532" s="370" t="n"/>
      <c r="I532" s="370" t="n"/>
      <c r="J532" s="370" t="n"/>
      <c r="K532" s="471" t="n"/>
      <c r="L532" s="370" t="n"/>
      <c r="M532" s="370" t="n"/>
      <c r="N532" s="370" t="n"/>
    </row>
    <row r="533">
      <c r="A533" s="459" t="n"/>
      <c r="B533" s="370" t="n"/>
      <c r="C533" s="370" t="n"/>
      <c r="D533" s="370" t="n"/>
      <c r="E533" s="370" t="n"/>
      <c r="F533" s="370" t="n"/>
      <c r="G533" s="370" t="n"/>
      <c r="H533" s="370" t="n"/>
      <c r="I533" s="370" t="n"/>
      <c r="J533" s="370" t="n"/>
      <c r="K533" s="471" t="n"/>
      <c r="L533" s="370" t="n"/>
      <c r="M533" s="370" t="n"/>
      <c r="N533" s="370" t="n"/>
    </row>
    <row r="534">
      <c r="A534" s="459" t="n"/>
      <c r="B534" s="370" t="n"/>
      <c r="C534" s="370" t="n"/>
      <c r="D534" s="370" t="n"/>
      <c r="E534" s="370" t="n"/>
      <c r="F534" s="370" t="n"/>
      <c r="G534" s="370" t="n"/>
      <c r="H534" s="370" t="n"/>
      <c r="I534" s="370" t="n"/>
      <c r="J534" s="370" t="n"/>
      <c r="K534" s="471" t="n"/>
      <c r="L534" s="370" t="n"/>
      <c r="M534" s="370" t="n"/>
      <c r="N534" s="370" t="n"/>
    </row>
    <row r="535">
      <c r="A535" s="459" t="n"/>
      <c r="B535" s="370" t="n"/>
      <c r="C535" s="370" t="n"/>
      <c r="D535" s="370" t="n"/>
      <c r="E535" s="370" t="n"/>
      <c r="F535" s="370" t="n"/>
      <c r="G535" s="370" t="n"/>
      <c r="H535" s="370" t="n"/>
      <c r="I535" s="370" t="n"/>
      <c r="J535" s="370" t="n"/>
      <c r="K535" s="471" t="n"/>
      <c r="L535" s="370" t="n"/>
      <c r="M535" s="370" t="n"/>
      <c r="N535" s="370" t="n"/>
    </row>
    <row r="536">
      <c r="A536" s="459" t="n"/>
      <c r="B536" s="370" t="n"/>
      <c r="C536" s="370" t="n"/>
      <c r="D536" s="370" t="n"/>
      <c r="E536" s="370" t="n"/>
      <c r="F536" s="370" t="n"/>
      <c r="G536" s="370" t="n"/>
      <c r="H536" s="370" t="n"/>
      <c r="I536" s="370" t="n"/>
      <c r="J536" s="370" t="n"/>
      <c r="K536" s="471" t="n"/>
      <c r="L536" s="370" t="n"/>
      <c r="M536" s="370" t="n"/>
      <c r="N536" s="370" t="n"/>
    </row>
    <row r="537">
      <c r="A537" s="459" t="n"/>
      <c r="B537" s="370" t="n"/>
      <c r="C537" s="370" t="n"/>
      <c r="D537" s="370" t="n"/>
      <c r="E537" s="370" t="n"/>
      <c r="F537" s="370" t="n"/>
      <c r="G537" s="370" t="n"/>
      <c r="H537" s="370" t="n"/>
      <c r="I537" s="370" t="n"/>
      <c r="J537" s="370" t="n"/>
      <c r="K537" s="471" t="n"/>
      <c r="L537" s="370" t="n"/>
      <c r="M537" s="370" t="n"/>
      <c r="N537" s="370" t="n"/>
    </row>
    <row r="538">
      <c r="A538" s="459" t="n"/>
      <c r="B538" s="370" t="n"/>
      <c r="C538" s="370" t="n"/>
      <c r="D538" s="370" t="n"/>
      <c r="E538" s="370" t="n"/>
      <c r="F538" s="370" t="n"/>
      <c r="G538" s="370" t="n"/>
      <c r="H538" s="370" t="n"/>
      <c r="I538" s="370" t="n"/>
      <c r="J538" s="370" t="n"/>
      <c r="K538" s="471" t="n"/>
      <c r="L538" s="370" t="n"/>
      <c r="M538" s="370" t="n"/>
      <c r="N538" s="370" t="n"/>
    </row>
    <row r="539">
      <c r="A539" s="459" t="n"/>
      <c r="B539" s="370" t="n"/>
      <c r="C539" s="370" t="n"/>
      <c r="D539" s="370" t="n"/>
      <c r="E539" s="370" t="n"/>
      <c r="F539" s="370" t="n"/>
      <c r="G539" s="370" t="n"/>
      <c r="H539" s="370" t="n"/>
      <c r="I539" s="370" t="n"/>
      <c r="J539" s="370" t="n"/>
      <c r="K539" s="471" t="n"/>
      <c r="L539" s="370" t="n"/>
      <c r="M539" s="370" t="n"/>
      <c r="N539" s="370" t="n"/>
    </row>
    <row r="540">
      <c r="A540" s="459" t="n"/>
      <c r="B540" s="370" t="n"/>
      <c r="C540" s="370" t="n"/>
      <c r="D540" s="370" t="n"/>
      <c r="E540" s="370" t="n"/>
      <c r="F540" s="370" t="n"/>
      <c r="G540" s="370" t="n"/>
      <c r="H540" s="370" t="n"/>
      <c r="I540" s="370" t="n"/>
      <c r="J540" s="370" t="n"/>
      <c r="K540" s="471" t="n"/>
      <c r="L540" s="370" t="n"/>
      <c r="M540" s="370" t="n"/>
      <c r="N540" s="370" t="n"/>
    </row>
    <row r="541">
      <c r="A541" s="459" t="n"/>
      <c r="B541" s="370" t="n"/>
      <c r="C541" s="370" t="n"/>
      <c r="D541" s="370" t="n"/>
      <c r="E541" s="370" t="n"/>
      <c r="F541" s="370" t="n"/>
      <c r="G541" s="370" t="n"/>
      <c r="H541" s="370" t="n"/>
      <c r="I541" s="370" t="n"/>
      <c r="J541" s="370" t="n"/>
      <c r="K541" s="471" t="n"/>
      <c r="L541" s="370" t="n"/>
      <c r="M541" s="370" t="n"/>
      <c r="N541" s="370" t="n"/>
    </row>
    <row r="542">
      <c r="A542" s="459" t="n"/>
      <c r="B542" s="370" t="n"/>
      <c r="C542" s="370" t="n"/>
      <c r="D542" s="370" t="n"/>
      <c r="E542" s="370" t="n"/>
      <c r="F542" s="370" t="n"/>
      <c r="G542" s="370" t="n"/>
      <c r="H542" s="370" t="n"/>
      <c r="I542" s="370" t="n"/>
      <c r="J542" s="370" t="n"/>
      <c r="K542" s="471" t="n"/>
      <c r="L542" s="370" t="n"/>
      <c r="M542" s="370" t="n"/>
      <c r="N542" s="370" t="n"/>
    </row>
    <row r="543">
      <c r="A543" s="459" t="n"/>
      <c r="B543" s="370" t="n"/>
      <c r="C543" s="370" t="n"/>
      <c r="D543" s="370" t="n"/>
      <c r="E543" s="370" t="n"/>
      <c r="F543" s="370" t="n"/>
      <c r="G543" s="370" t="n"/>
      <c r="H543" s="370" t="n"/>
      <c r="I543" s="370" t="n"/>
      <c r="J543" s="370" t="n"/>
      <c r="K543" s="471" t="n"/>
      <c r="L543" s="370" t="n"/>
      <c r="M543" s="370" t="n"/>
      <c r="N543" s="370" t="n"/>
    </row>
    <row r="544">
      <c r="A544" s="459" t="n"/>
      <c r="B544" s="370" t="n"/>
      <c r="C544" s="370" t="n"/>
      <c r="D544" s="370" t="n"/>
      <c r="E544" s="370" t="n"/>
      <c r="F544" s="370" t="n"/>
      <c r="G544" s="370" t="n"/>
      <c r="H544" s="370" t="n"/>
      <c r="I544" s="370" t="n"/>
      <c r="J544" s="370" t="n"/>
      <c r="K544" s="471" t="n"/>
      <c r="L544" s="370" t="n"/>
      <c r="M544" s="370" t="n"/>
      <c r="N544" s="370" t="n"/>
    </row>
    <row r="545">
      <c r="A545" s="459" t="n"/>
      <c r="B545" s="370" t="n"/>
      <c r="C545" s="370" t="n"/>
      <c r="D545" s="370" t="n"/>
      <c r="E545" s="370" t="n"/>
      <c r="F545" s="370" t="n"/>
      <c r="G545" s="370" t="n"/>
      <c r="H545" s="370" t="n"/>
      <c r="I545" s="370" t="n"/>
      <c r="J545" s="370" t="n"/>
      <c r="K545" s="471" t="n"/>
      <c r="L545" s="370" t="n"/>
      <c r="M545" s="370" t="n"/>
      <c r="N545" s="370" t="n"/>
    </row>
    <row r="546">
      <c r="A546" s="459" t="n"/>
      <c r="B546" s="370" t="n"/>
      <c r="C546" s="370" t="n"/>
      <c r="D546" s="370" t="n"/>
      <c r="E546" s="370" t="n"/>
      <c r="F546" s="370" t="n"/>
      <c r="G546" s="370" t="n"/>
      <c r="H546" s="370" t="n"/>
      <c r="I546" s="370" t="n"/>
      <c r="J546" s="370" t="n"/>
      <c r="K546" s="471" t="n"/>
      <c r="L546" s="370" t="n"/>
      <c r="M546" s="370" t="n"/>
      <c r="N546" s="370" t="n"/>
    </row>
    <row r="547">
      <c r="A547" s="459" t="n"/>
      <c r="B547" s="370" t="n"/>
      <c r="C547" s="370" t="n"/>
      <c r="D547" s="370" t="n"/>
      <c r="E547" s="370" t="n"/>
      <c r="F547" s="370" t="n"/>
      <c r="G547" s="370" t="n"/>
      <c r="H547" s="370" t="n"/>
      <c r="I547" s="370" t="n"/>
      <c r="J547" s="370" t="n"/>
      <c r="K547" s="471" t="n"/>
      <c r="L547" s="370" t="n"/>
      <c r="M547" s="370" t="n"/>
      <c r="N547" s="370" t="n"/>
    </row>
    <row r="548">
      <c r="A548" s="459" t="n"/>
      <c r="B548" s="370" t="n"/>
      <c r="C548" s="370" t="n"/>
      <c r="D548" s="370" t="n"/>
      <c r="E548" s="370" t="n"/>
      <c r="F548" s="370" t="n"/>
      <c r="G548" s="370" t="n"/>
      <c r="H548" s="370" t="n"/>
      <c r="I548" s="370" t="n"/>
      <c r="J548" s="370" t="n"/>
      <c r="K548" s="471" t="n"/>
      <c r="L548" s="370" t="n"/>
      <c r="M548" s="370" t="n"/>
      <c r="N548" s="370" t="n"/>
    </row>
    <row r="549">
      <c r="A549" s="459" t="n"/>
      <c r="B549" s="370" t="n"/>
      <c r="C549" s="370" t="n"/>
      <c r="D549" s="370" t="n"/>
      <c r="E549" s="370" t="n"/>
      <c r="F549" s="370" t="n"/>
      <c r="G549" s="370" t="n"/>
      <c r="H549" s="370" t="n"/>
      <c r="I549" s="370" t="n"/>
      <c r="J549" s="370" t="n"/>
      <c r="K549" s="471" t="n"/>
      <c r="L549" s="370" t="n"/>
      <c r="M549" s="370" t="n"/>
      <c r="N549" s="370" t="n"/>
    </row>
    <row r="550">
      <c r="A550" s="459" t="n"/>
      <c r="B550" s="370" t="n"/>
      <c r="C550" s="370" t="n"/>
      <c r="D550" s="370" t="n"/>
      <c r="E550" s="370" t="n"/>
      <c r="F550" s="370" t="n"/>
      <c r="G550" s="370" t="n"/>
      <c r="H550" s="370" t="n"/>
      <c r="I550" s="370" t="n"/>
      <c r="J550" s="370" t="n"/>
      <c r="K550" s="471" t="n"/>
      <c r="L550" s="370" t="n"/>
      <c r="M550" s="370" t="n"/>
      <c r="N550" s="370" t="n"/>
    </row>
    <row r="551">
      <c r="A551" s="459" t="n"/>
      <c r="B551" s="370" t="n"/>
      <c r="C551" s="370" t="n"/>
      <c r="D551" s="370" t="n"/>
      <c r="E551" s="370" t="n"/>
      <c r="F551" s="370" t="n"/>
      <c r="G551" s="370" t="n"/>
      <c r="H551" s="370" t="n"/>
      <c r="I551" s="370" t="n"/>
      <c r="J551" s="370" t="n"/>
      <c r="K551" s="471" t="n"/>
      <c r="L551" s="370" t="n"/>
      <c r="M551" s="370" t="n"/>
      <c r="N551" s="370" t="n"/>
    </row>
    <row r="552">
      <c r="A552" s="459" t="n"/>
      <c r="B552" s="370" t="n"/>
      <c r="C552" s="370" t="n"/>
      <c r="D552" s="370" t="n"/>
      <c r="E552" s="370" t="n"/>
      <c r="F552" s="370" t="n"/>
      <c r="G552" s="370" t="n"/>
      <c r="H552" s="370" t="n"/>
      <c r="I552" s="370" t="n"/>
      <c r="J552" s="370" t="n"/>
      <c r="K552" s="471" t="n"/>
      <c r="L552" s="370" t="n"/>
      <c r="M552" s="370" t="n"/>
      <c r="N552" s="370" t="n"/>
    </row>
    <row r="553">
      <c r="A553" s="459" t="n"/>
      <c r="B553" s="370" t="n"/>
      <c r="C553" s="370" t="n"/>
      <c r="D553" s="370" t="n"/>
      <c r="E553" s="370" t="n"/>
      <c r="F553" s="370" t="n"/>
      <c r="G553" s="370" t="n"/>
      <c r="H553" s="370" t="n"/>
      <c r="I553" s="370" t="n"/>
      <c r="J553" s="370" t="n"/>
      <c r="K553" s="471" t="n"/>
      <c r="L553" s="370" t="n"/>
      <c r="M553" s="370" t="n"/>
      <c r="N553" s="370" t="n"/>
    </row>
    <row r="554">
      <c r="A554" s="459" t="n"/>
      <c r="B554" s="370" t="n"/>
      <c r="C554" s="370" t="n"/>
      <c r="D554" s="370" t="n"/>
      <c r="E554" s="370" t="n"/>
      <c r="F554" s="370" t="n"/>
      <c r="G554" s="370" t="n"/>
      <c r="H554" s="370" t="n"/>
      <c r="I554" s="370" t="n"/>
      <c r="J554" s="370" t="n"/>
      <c r="K554" s="471" t="n"/>
      <c r="L554" s="370" t="n"/>
      <c r="M554" s="370" t="n"/>
      <c r="N554" s="370" t="n"/>
    </row>
    <row r="555">
      <c r="A555" s="459" t="n"/>
      <c r="B555" s="370" t="n"/>
      <c r="C555" s="370" t="n"/>
      <c r="D555" s="370" t="n"/>
      <c r="E555" s="370" t="n"/>
      <c r="F555" s="370" t="n"/>
      <c r="G555" s="370" t="n"/>
      <c r="H555" s="370" t="n"/>
      <c r="I555" s="370" t="n"/>
      <c r="J555" s="370" t="n"/>
      <c r="K555" s="471" t="n"/>
      <c r="L555" s="370" t="n"/>
      <c r="M555" s="370" t="n"/>
      <c r="N555" s="370" t="n"/>
    </row>
    <row r="556">
      <c r="A556" s="459" t="n"/>
      <c r="B556" s="370" t="n"/>
      <c r="C556" s="370" t="n"/>
      <c r="D556" s="370" t="n"/>
      <c r="E556" s="370" t="n"/>
      <c r="F556" s="370" t="n"/>
      <c r="G556" s="370" t="n"/>
      <c r="H556" s="370" t="n"/>
      <c r="I556" s="370" t="n"/>
      <c r="J556" s="370" t="n"/>
      <c r="K556" s="471" t="n"/>
      <c r="L556" s="370" t="n"/>
      <c r="M556" s="370" t="n"/>
      <c r="N556" s="370" t="n"/>
    </row>
    <row r="557">
      <c r="A557" s="459" t="n"/>
      <c r="B557" s="370" t="n"/>
      <c r="C557" s="370" t="n"/>
      <c r="D557" s="370" t="n"/>
      <c r="E557" s="370" t="n"/>
      <c r="F557" s="370" t="n"/>
      <c r="G557" s="370" t="n"/>
      <c r="H557" s="370" t="n"/>
      <c r="I557" s="370" t="n"/>
      <c r="J557" s="370" t="n"/>
      <c r="K557" s="471" t="n"/>
      <c r="L557" s="370" t="n"/>
      <c r="M557" s="370" t="n"/>
      <c r="N557" s="370" t="n"/>
    </row>
    <row r="558">
      <c r="A558" s="459" t="n"/>
      <c r="B558" s="370" t="n"/>
      <c r="C558" s="370" t="n"/>
      <c r="D558" s="370" t="n"/>
      <c r="E558" s="370" t="n"/>
      <c r="F558" s="370" t="n"/>
      <c r="G558" s="370" t="n"/>
      <c r="H558" s="370" t="n"/>
      <c r="I558" s="370" t="n"/>
      <c r="J558" s="370" t="n"/>
      <c r="K558" s="471" t="n"/>
      <c r="L558" s="370" t="n"/>
      <c r="M558" s="370" t="n"/>
      <c r="N558" s="370" t="n"/>
    </row>
    <row r="559">
      <c r="A559" s="459" t="n"/>
      <c r="B559" s="370" t="n"/>
      <c r="C559" s="370" t="n"/>
      <c r="D559" s="370" t="n"/>
      <c r="E559" s="370" t="n"/>
      <c r="F559" s="370" t="n"/>
      <c r="G559" s="370" t="n"/>
      <c r="H559" s="370" t="n"/>
      <c r="I559" s="370" t="n"/>
      <c r="J559" s="370" t="n"/>
      <c r="K559" s="471" t="n"/>
      <c r="L559" s="370" t="n"/>
      <c r="M559" s="370" t="n"/>
      <c r="N559" s="370" t="n"/>
    </row>
    <row r="560">
      <c r="A560" s="459" t="n"/>
      <c r="B560" s="370" t="n"/>
      <c r="C560" s="370" t="n"/>
      <c r="D560" s="370" t="n"/>
      <c r="E560" s="370" t="n"/>
      <c r="F560" s="370" t="n"/>
      <c r="G560" s="370" t="n"/>
      <c r="H560" s="370" t="n"/>
      <c r="I560" s="370" t="n"/>
      <c r="J560" s="370" t="n"/>
      <c r="K560" s="471" t="n"/>
      <c r="L560" s="370" t="n"/>
      <c r="M560" s="370" t="n"/>
      <c r="N560" s="370" t="n"/>
    </row>
    <row r="561">
      <c r="A561" s="459" t="n"/>
      <c r="B561" s="370" t="n"/>
      <c r="C561" s="370" t="n"/>
      <c r="D561" s="370" t="n"/>
      <c r="E561" s="370" t="n"/>
      <c r="F561" s="370" t="n"/>
      <c r="G561" s="370" t="n"/>
      <c r="H561" s="370" t="n"/>
      <c r="I561" s="370" t="n"/>
      <c r="J561" s="370" t="n"/>
      <c r="K561" s="471" t="n"/>
      <c r="L561" s="370" t="n"/>
      <c r="M561" s="370" t="n"/>
      <c r="N561" s="370" t="n"/>
    </row>
    <row r="562">
      <c r="A562" s="459" t="n"/>
      <c r="B562" s="370" t="n"/>
      <c r="C562" s="370" t="n"/>
      <c r="D562" s="370" t="n"/>
      <c r="E562" s="370" t="n"/>
      <c r="F562" s="370" t="n"/>
      <c r="G562" s="370" t="n"/>
      <c r="H562" s="370" t="n"/>
      <c r="I562" s="370" t="n"/>
      <c r="J562" s="370" t="n"/>
      <c r="K562" s="471" t="n"/>
      <c r="L562" s="370" t="n"/>
      <c r="M562" s="370" t="n"/>
      <c r="N562" s="370" t="n"/>
    </row>
    <row r="563">
      <c r="A563" s="459" t="n"/>
      <c r="B563" s="370" t="n"/>
      <c r="C563" s="370" t="n"/>
      <c r="D563" s="370" t="n"/>
      <c r="E563" s="370" t="n"/>
      <c r="F563" s="370" t="n"/>
      <c r="G563" s="370" t="n"/>
      <c r="H563" s="370" t="n"/>
      <c r="I563" s="370" t="n"/>
      <c r="J563" s="370" t="n"/>
      <c r="K563" s="471" t="n"/>
      <c r="L563" s="370" t="n"/>
      <c r="M563" s="370" t="n"/>
      <c r="N563" s="370" t="n"/>
    </row>
    <row r="564">
      <c r="A564" s="459" t="n"/>
      <c r="B564" s="370" t="n"/>
      <c r="C564" s="370" t="n"/>
      <c r="D564" s="370" t="n"/>
      <c r="E564" s="370" t="n"/>
      <c r="F564" s="370" t="n"/>
      <c r="G564" s="370" t="n"/>
      <c r="H564" s="370" t="n"/>
      <c r="I564" s="370" t="n"/>
      <c r="J564" s="370" t="n"/>
      <c r="K564" s="471" t="n"/>
      <c r="L564" s="370" t="n"/>
      <c r="M564" s="370" t="n"/>
      <c r="N564" s="370" t="n"/>
    </row>
    <row r="565">
      <c r="A565" s="459" t="n"/>
      <c r="B565" s="370" t="n"/>
      <c r="C565" s="370" t="n"/>
      <c r="D565" s="370" t="n"/>
      <c r="E565" s="370" t="n"/>
      <c r="F565" s="370" t="n"/>
      <c r="G565" s="370" t="n"/>
      <c r="H565" s="370" t="n"/>
      <c r="I565" s="370" t="n"/>
      <c r="J565" s="370" t="n"/>
      <c r="K565" s="471" t="n"/>
      <c r="L565" s="370" t="n"/>
      <c r="M565" s="370" t="n"/>
      <c r="N565" s="370" t="n"/>
    </row>
    <row r="566">
      <c r="A566" s="459" t="n"/>
      <c r="B566" s="370" t="n"/>
      <c r="C566" s="370" t="n"/>
      <c r="D566" s="370" t="n"/>
      <c r="E566" s="370" t="n"/>
      <c r="F566" s="370" t="n"/>
      <c r="G566" s="370" t="n"/>
      <c r="H566" s="370" t="n"/>
      <c r="I566" s="370" t="n"/>
      <c r="J566" s="370" t="n"/>
      <c r="K566" s="471" t="n"/>
      <c r="L566" s="370" t="n"/>
      <c r="M566" s="370" t="n"/>
      <c r="N566" s="370" t="n"/>
    </row>
    <row r="567">
      <c r="A567" s="459" t="n"/>
      <c r="B567" s="370" t="n"/>
      <c r="C567" s="370" t="n"/>
      <c r="D567" s="370" t="n"/>
      <c r="E567" s="370" t="n"/>
      <c r="F567" s="370" t="n"/>
      <c r="G567" s="370" t="n"/>
      <c r="H567" s="370" t="n"/>
      <c r="I567" s="370" t="n"/>
      <c r="J567" s="370" t="n"/>
      <c r="K567" s="471" t="n"/>
      <c r="L567" s="370" t="n"/>
      <c r="M567" s="370" t="n"/>
      <c r="N567" s="370" t="n"/>
    </row>
    <row r="568">
      <c r="A568" s="459" t="n"/>
      <c r="B568" s="370" t="n"/>
      <c r="C568" s="370" t="n"/>
      <c r="D568" s="370" t="n"/>
      <c r="E568" s="370" t="n"/>
      <c r="F568" s="370" t="n"/>
      <c r="G568" s="370" t="n"/>
      <c r="H568" s="370" t="n"/>
      <c r="I568" s="370" t="n"/>
      <c r="J568" s="370" t="n"/>
      <c r="K568" s="471" t="n"/>
      <c r="L568" s="370" t="n"/>
      <c r="M568" s="370" t="n"/>
      <c r="N568" s="370" t="n"/>
    </row>
    <row r="569">
      <c r="A569" s="459" t="n"/>
      <c r="B569" s="370" t="n"/>
      <c r="C569" s="370" t="n"/>
      <c r="D569" s="370" t="n"/>
      <c r="E569" s="370" t="n"/>
      <c r="F569" s="370" t="n"/>
      <c r="G569" s="370" t="n"/>
      <c r="H569" s="370" t="n"/>
      <c r="I569" s="370" t="n"/>
      <c r="J569" s="370" t="n"/>
      <c r="K569" s="471" t="n"/>
      <c r="L569" s="370" t="n"/>
      <c r="M569" s="370" t="n"/>
      <c r="N569" s="370" t="n"/>
    </row>
    <row r="570">
      <c r="A570" s="459" t="n"/>
      <c r="B570" s="370" t="n"/>
      <c r="C570" s="370" t="n"/>
      <c r="D570" s="370" t="n"/>
      <c r="E570" s="370" t="n"/>
      <c r="F570" s="370" t="n"/>
      <c r="G570" s="370" t="n"/>
      <c r="H570" s="370" t="n"/>
      <c r="I570" s="370" t="n"/>
      <c r="J570" s="370" t="n"/>
      <c r="K570" s="471" t="n"/>
      <c r="L570" s="370" t="n"/>
      <c r="M570" s="370" t="n"/>
      <c r="N570" s="370" t="n"/>
    </row>
    <row r="571">
      <c r="A571" s="459" t="n"/>
      <c r="B571" s="370" t="n"/>
      <c r="C571" s="370" t="n"/>
      <c r="D571" s="370" t="n"/>
      <c r="E571" s="370" t="n"/>
      <c r="F571" s="370" t="n"/>
      <c r="G571" s="370" t="n"/>
      <c r="H571" s="370" t="n"/>
      <c r="I571" s="370" t="n"/>
      <c r="J571" s="370" t="n"/>
      <c r="K571" s="471" t="n"/>
      <c r="L571" s="370" t="n"/>
      <c r="M571" s="370" t="n"/>
      <c r="N571" s="370" t="n"/>
    </row>
    <row r="572">
      <c r="A572" s="459" t="n"/>
      <c r="B572" s="370" t="n"/>
      <c r="C572" s="370" t="n"/>
      <c r="D572" s="370" t="n"/>
      <c r="E572" s="370" t="n"/>
      <c r="F572" s="370" t="n"/>
      <c r="G572" s="370" t="n"/>
      <c r="H572" s="370" t="n"/>
      <c r="I572" s="370" t="n"/>
      <c r="J572" s="370" t="n"/>
      <c r="K572" s="471" t="n"/>
      <c r="L572" s="370" t="n"/>
      <c r="M572" s="370" t="n"/>
      <c r="N572" s="370" t="n"/>
    </row>
    <row r="573">
      <c r="A573" s="459" t="n"/>
      <c r="B573" s="370" t="n"/>
      <c r="C573" s="370" t="n"/>
      <c r="D573" s="370" t="n"/>
      <c r="E573" s="370" t="n"/>
      <c r="F573" s="370" t="n"/>
      <c r="G573" s="370" t="n"/>
      <c r="H573" s="370" t="n"/>
      <c r="I573" s="370" t="n"/>
      <c r="J573" s="370" t="n"/>
      <c r="K573" s="471" t="n"/>
      <c r="L573" s="370" t="n"/>
      <c r="M573" s="370" t="n"/>
      <c r="N573" s="370" t="n"/>
    </row>
    <row r="574">
      <c r="A574" s="459" t="n"/>
      <c r="B574" s="370" t="n"/>
      <c r="C574" s="370" t="n"/>
      <c r="D574" s="370" t="n"/>
      <c r="E574" s="370" t="n"/>
      <c r="F574" s="370" t="n"/>
      <c r="G574" s="370" t="n"/>
      <c r="H574" s="370" t="n"/>
      <c r="I574" s="370" t="n"/>
      <c r="J574" s="370" t="n"/>
      <c r="K574" s="471" t="n"/>
      <c r="L574" s="370" t="n"/>
      <c r="M574" s="370" t="n"/>
      <c r="N574" s="370" t="n"/>
    </row>
    <row r="575">
      <c r="A575" s="459" t="n"/>
      <c r="B575" s="370" t="n"/>
      <c r="C575" s="370" t="n"/>
      <c r="D575" s="370" t="n"/>
      <c r="E575" s="370" t="n"/>
      <c r="F575" s="370" t="n"/>
      <c r="G575" s="370" t="n"/>
      <c r="H575" s="370" t="n"/>
      <c r="I575" s="370" t="n"/>
      <c r="J575" s="370" t="n"/>
      <c r="K575" s="471" t="n"/>
      <c r="L575" s="370" t="n"/>
      <c r="M575" s="370" t="n"/>
      <c r="N575" s="370" t="n"/>
    </row>
    <row r="576">
      <c r="A576" s="459" t="n"/>
      <c r="B576" s="370" t="n"/>
      <c r="C576" s="370" t="n"/>
      <c r="D576" s="370" t="n"/>
      <c r="E576" s="370" t="n"/>
      <c r="F576" s="370" t="n"/>
      <c r="G576" s="370" t="n"/>
      <c r="H576" s="370" t="n"/>
      <c r="I576" s="370" t="n"/>
      <c r="J576" s="370" t="n"/>
      <c r="K576" s="471" t="n"/>
      <c r="L576" s="370" t="n"/>
      <c r="M576" s="370" t="n"/>
      <c r="N576" s="370" t="n"/>
    </row>
    <row r="577">
      <c r="A577" s="459" t="n"/>
      <c r="B577" s="370" t="n"/>
      <c r="C577" s="370" t="n"/>
      <c r="D577" s="370" t="n"/>
      <c r="E577" s="370" t="n"/>
      <c r="F577" s="370" t="n"/>
      <c r="G577" s="370" t="n"/>
      <c r="H577" s="370" t="n"/>
      <c r="I577" s="370" t="n"/>
      <c r="J577" s="370" t="n"/>
      <c r="K577" s="471" t="n"/>
      <c r="L577" s="370" t="n"/>
      <c r="M577" s="370" t="n"/>
      <c r="N577" s="370" t="n"/>
    </row>
  </sheetData>
  <mergeCells count="31">
    <mergeCell ref="M161:N161"/>
    <mergeCell ref="C262:N263"/>
    <mergeCell ref="B84:N84"/>
    <mergeCell ref="M162:N162"/>
    <mergeCell ref="J1:K1"/>
    <mergeCell ref="B313:N313"/>
    <mergeCell ref="B51:N51"/>
    <mergeCell ref="B80:N80"/>
    <mergeCell ref="B89:N89"/>
    <mergeCell ref="M241:N241"/>
    <mergeCell ref="B26:N26"/>
    <mergeCell ref="B81:N81"/>
    <mergeCell ref="C218:N219"/>
    <mergeCell ref="B311:N311"/>
    <mergeCell ref="B27:N27"/>
    <mergeCell ref="B52:N52"/>
    <mergeCell ref="B86:N86"/>
    <mergeCell ref="B60:N60"/>
    <mergeCell ref="C226:N229"/>
    <mergeCell ref="N272:N274"/>
    <mergeCell ref="C211:N212"/>
    <mergeCell ref="J2:K2"/>
    <mergeCell ref="C216:N216"/>
    <mergeCell ref="B88:N88"/>
    <mergeCell ref="M112:N112"/>
    <mergeCell ref="B53:N53"/>
    <mergeCell ref="C232:N233"/>
    <mergeCell ref="B29:N29"/>
    <mergeCell ref="C222:N223"/>
    <mergeCell ref="B314:N314"/>
    <mergeCell ref="B28:N28"/>
  </mergeCells>
  <printOptions horizontalCentered="1"/>
  <pageMargins left="0.4" right="0.38" top="0.5905511811023623" bottom="0.5905511811023623" header="0.38" footer="0.1181102362204725"/>
  <pageSetup orientation="portrait" paperSize="9" scale="99" firstPageNumber="4294967295" useFirstPageNumber="1" horizontalDpi="300" verticalDpi="300"/>
  <headerFooter alignWithMargins="0">
    <oddHeader/>
    <oddFooter>&amp;Cדף &amp;P</oddFooter>
    <evenHeader/>
    <evenFooter/>
    <firstHeader/>
    <firstFooter/>
  </headerFooter>
  <rowBreaks count="10" manualBreakCount="10">
    <brk id="5" min="1" max="13" man="1"/>
    <brk id="44" min="1" max="13" man="1"/>
    <brk id="68" min="1" max="13" man="1"/>
    <brk id="107" min="1" max="13" man="1"/>
    <brk id="155" min="1" max="13" man="1"/>
    <brk id="199" min="1" max="13" man="1"/>
    <brk id="236" min="1" max="13" man="1"/>
    <brk id="268" min="1" max="13" man="1"/>
    <brk id="299" min="0" max="16383" man="1"/>
    <brk id="340" min="0" max="16383" man="1"/>
  </rowBreaks>
  <colBreaks count="1" manualBreakCount="1">
    <brk id="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shlomo</dc:creator>
  <dcterms:created xsi:type="dcterms:W3CDTF">1996-07-15T07:38:06Z</dcterms:created>
  <dcterms:modified xsi:type="dcterms:W3CDTF">2026-03-29T09:01:45Z</dcterms:modified>
  <cp:lastModifiedBy>Yoav Elhadad</cp:lastModifiedBy>
  <cp:lastPrinted>2026-03-18T12:47:32Z</cp:lastPrinted>
</cp:coreProperties>
</file>